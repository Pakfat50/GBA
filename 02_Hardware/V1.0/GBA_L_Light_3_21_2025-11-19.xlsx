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E394E3A1-CB49-4A3B-8E0D-DF7FDC25DF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サマリ" sheetId="3" r:id="rId1"/>
    <sheet name="構造" sheetId="1" r:id="rId2"/>
    <sheet name="電子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10" i="3"/>
  <c r="I17" i="2"/>
  <c r="G17" i="2"/>
  <c r="G18" i="2"/>
  <c r="F17" i="2"/>
  <c r="C19" i="3"/>
  <c r="C18" i="3"/>
  <c r="I8" i="2"/>
  <c r="I9" i="2"/>
  <c r="I10" i="2"/>
  <c r="I2" i="2" s="1"/>
  <c r="I11" i="2"/>
  <c r="I12" i="2"/>
  <c r="I13" i="2"/>
  <c r="I14" i="2"/>
  <c r="I15" i="2"/>
  <c r="I16" i="2"/>
  <c r="I18" i="2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 s="1"/>
  <c r="C15" i="3" s="1"/>
  <c r="I30" i="1"/>
  <c r="I31" i="1"/>
  <c r="I32" i="1"/>
  <c r="I33" i="1"/>
  <c r="I7" i="1"/>
  <c r="G8" i="2"/>
  <c r="G6" i="2"/>
  <c r="I6" i="2" s="1"/>
  <c r="G7" i="2"/>
  <c r="I7" i="2" s="1"/>
  <c r="G10" i="2"/>
  <c r="G11" i="2"/>
  <c r="G12" i="2"/>
  <c r="G13" i="2"/>
  <c r="G16" i="2"/>
  <c r="G5" i="2"/>
  <c r="I5" i="2" s="1"/>
  <c r="F15" i="2"/>
  <c r="G15" i="2" s="1"/>
  <c r="F14" i="2"/>
  <c r="G14" i="2" s="1"/>
  <c r="F9" i="2"/>
  <c r="G9" i="2" s="1"/>
  <c r="G8" i="1"/>
  <c r="G11" i="1"/>
  <c r="G13" i="1"/>
  <c r="G15" i="1"/>
  <c r="G18" i="1"/>
  <c r="G19" i="1"/>
  <c r="G20" i="1"/>
  <c r="G21" i="1"/>
  <c r="G22" i="1"/>
  <c r="G26" i="1"/>
  <c r="G31" i="1"/>
  <c r="F24" i="1"/>
  <c r="G24" i="1" s="1"/>
  <c r="F27" i="1"/>
  <c r="G27" i="1" s="1"/>
  <c r="F28" i="1"/>
  <c r="G28" i="1" s="1"/>
  <c r="F33" i="1"/>
  <c r="G33" i="1" s="1"/>
  <c r="F32" i="1"/>
  <c r="G32" i="1" s="1"/>
  <c r="F25" i="1"/>
  <c r="G25" i="1" s="1"/>
  <c r="F21" i="1"/>
  <c r="F16" i="1"/>
  <c r="G16" i="1" s="1"/>
  <c r="F30" i="1"/>
  <c r="G30" i="1" s="1"/>
  <c r="F10" i="1"/>
  <c r="G10" i="1" s="1"/>
  <c r="F23" i="1"/>
  <c r="G23" i="1" s="1"/>
  <c r="F7" i="1"/>
  <c r="G7" i="1" s="1"/>
  <c r="F14" i="1"/>
  <c r="G14" i="1" s="1"/>
  <c r="F17" i="1"/>
  <c r="G17" i="1" s="1"/>
  <c r="F9" i="1"/>
  <c r="G9" i="1" s="1"/>
  <c r="F29" i="1"/>
  <c r="G29" i="1" s="1"/>
  <c r="F12" i="1"/>
  <c r="G12" i="1" s="1"/>
  <c r="F8" i="1"/>
  <c r="C16" i="3" l="1"/>
  <c r="C12" i="3" s="1"/>
  <c r="G2" i="2"/>
  <c r="C6" i="3" s="1"/>
  <c r="G4" i="1"/>
  <c r="C5" i="3" s="1"/>
</calcChain>
</file>

<file path=xl/sharedStrings.xml><?xml version="1.0" encoding="utf-8"?>
<sst xmlns="http://schemas.openxmlformats.org/spreadsheetml/2006/main" count="221" uniqueCount="166">
  <si>
    <t>パーツ名</t>
  </si>
  <si>
    <t>GBA_L_Light</t>
  </si>
  <si>
    <t>Working BOM</t>
  </si>
  <si>
    <t>as of 2025年11月19日 3:21:11 UTC</t>
  </si>
  <si>
    <t>エクスポート者</t>
  </si>
  <si>
    <t>ialove127@gmail.com</t>
  </si>
  <si>
    <t>書き出し時間</t>
  </si>
  <si>
    <t>3:21 2025/11/19</t>
  </si>
  <si>
    <t/>
  </si>
  <si>
    <t>レベル</t>
  </si>
  <si>
    <t>パーツ番号</t>
  </si>
  <si>
    <t>数量</t>
  </si>
  <si>
    <t>1.1</t>
  </si>
  <si>
    <t>ISO 4032 - M2 鉄鋼 6 平</t>
  </si>
  <si>
    <t>MT6701Module</t>
  </si>
  <si>
    <t>1.3</t>
  </si>
  <si>
    <t>1.4</t>
  </si>
  <si>
    <t>平行ピンM2-10</t>
  </si>
  <si>
    <t>1.5</t>
  </si>
  <si>
    <t>ISO 4762 - M2 x 20 鉄鋼 4.6 平</t>
  </si>
  <si>
    <t>1.6</t>
  </si>
  <si>
    <t>InnerFrame_L</t>
  </si>
  <si>
    <t>1.8</t>
  </si>
  <si>
    <t>スペーサー2mm</t>
  </si>
  <si>
    <t>1.9</t>
  </si>
  <si>
    <t>PipeJoint</t>
  </si>
  <si>
    <t>1.10</t>
  </si>
  <si>
    <t>1.11</t>
  </si>
  <si>
    <t>OuterFrame_L</t>
  </si>
  <si>
    <t>1.12</t>
  </si>
  <si>
    <t>Ball</t>
  </si>
  <si>
    <t>1.13</t>
  </si>
  <si>
    <t>平行ピンM2-15</t>
  </si>
  <si>
    <t>1.14</t>
  </si>
  <si>
    <t>MiddleFrame_L</t>
  </si>
  <si>
    <t>1.15</t>
  </si>
  <si>
    <t>1.16</t>
  </si>
  <si>
    <t>H-10-24</t>
  </si>
  <si>
    <t>1.17</t>
  </si>
  <si>
    <t>Pipe_300</t>
  </si>
  <si>
    <t>1.18</t>
  </si>
  <si>
    <t>Case_Light</t>
  </si>
  <si>
    <t>1.19</t>
  </si>
  <si>
    <t>ISO 4032 - M3 鉄鋼 6 平</t>
  </si>
  <si>
    <t>1.20</t>
  </si>
  <si>
    <t>ISO 4762 - M4 x 10 鉄鋼 4.6 平</t>
  </si>
  <si>
    <t>1.21</t>
  </si>
  <si>
    <t>板付ナット 三価クロメート</t>
  </si>
  <si>
    <t>1.22</t>
  </si>
  <si>
    <t>NutHolder</t>
  </si>
  <si>
    <t>1.23</t>
  </si>
  <si>
    <t>ISO 4762 - M3 x 30 鉄鋼 4.6 平</t>
  </si>
  <si>
    <t>1.24</t>
  </si>
  <si>
    <t>ISO 4032 - M4 鉄鋼 6 平</t>
  </si>
  <si>
    <t>1.25</t>
  </si>
  <si>
    <t>スペーサー9mm</t>
  </si>
  <si>
    <t>1.26</t>
  </si>
  <si>
    <t>M2-25</t>
  </si>
  <si>
    <t>1.27</t>
  </si>
  <si>
    <t>MagnetHolder</t>
  </si>
  <si>
    <t>1.28</t>
  </si>
  <si>
    <t>HSB-203030Z</t>
  </si>
  <si>
    <t>1.29</t>
  </si>
  <si>
    <t>ISO 7045 - M2 x 5 - Z 鉄鋼 4.6 平</t>
  </si>
  <si>
    <t>入手方法</t>
    <rPh sb="0" eb="2">
      <t>ニュウシュ</t>
    </rPh>
    <rPh sb="2" eb="4">
      <t>ホウホウ</t>
    </rPh>
    <phoneticPr fontId="1"/>
  </si>
  <si>
    <t>Monotaro</t>
    <phoneticPr fontId="1"/>
  </si>
  <si>
    <t>MT6701基板</t>
    <rPh sb="6" eb="8">
      <t>キバン</t>
    </rPh>
    <phoneticPr fontId="1"/>
  </si>
  <si>
    <t>ー</t>
    <phoneticPr fontId="1"/>
  </si>
  <si>
    <t>Alie</t>
    <phoneticPr fontId="1"/>
  </si>
  <si>
    <t>単価(\/個)</t>
    <rPh sb="0" eb="2">
      <t>タンカ</t>
    </rPh>
    <rPh sb="5" eb="6">
      <t>コ</t>
    </rPh>
    <phoneticPr fontId="1"/>
  </si>
  <si>
    <t>PSR-210153-05</t>
    <phoneticPr fontId="1"/>
  </si>
  <si>
    <t>スペーサー5mm</t>
    <phoneticPr fontId="1"/>
  </si>
  <si>
    <t>パーツ名</t>
    <rPh sb="3" eb="4">
      <t>メイ</t>
    </rPh>
    <phoneticPr fontId="1"/>
  </si>
  <si>
    <t>L字ピンヘッダ(2mmピッチ)</t>
    <rPh sb="1" eb="2">
      <t>ジ</t>
    </rPh>
    <phoneticPr fontId="1"/>
  </si>
  <si>
    <t>リンク</t>
    <phoneticPr fontId="1"/>
  </si>
  <si>
    <t>https://www.monotaro.com/p/1113/9844/</t>
    <phoneticPr fontId="1"/>
  </si>
  <si>
    <t>CB-2005CE</t>
    <phoneticPr fontId="1"/>
  </si>
  <si>
    <t>https://www.monotaro.com/p/1113/9783/</t>
    <phoneticPr fontId="1"/>
  </si>
  <si>
    <t>CB-2002CE</t>
    <phoneticPr fontId="1"/>
  </si>
  <si>
    <t>CB-2009CE</t>
    <phoneticPr fontId="1"/>
  </si>
  <si>
    <t>https://www.monotaro.com/p/1113/9923/</t>
    <phoneticPr fontId="1"/>
  </si>
  <si>
    <t>JLCPCB</t>
    <phoneticPr fontId="1"/>
  </si>
  <si>
    <t>メイン基板</t>
    <phoneticPr fontId="1"/>
  </si>
  <si>
    <t>https://www.monotaro.com/p/4215/5775/</t>
    <phoneticPr fontId="1"/>
  </si>
  <si>
    <t>https://www.monotaro.com/p/4215/5802/</t>
    <phoneticPr fontId="1"/>
  </si>
  <si>
    <t>R-620</t>
    <phoneticPr fontId="1"/>
  </si>
  <si>
    <t>Amazon</t>
    <phoneticPr fontId="1"/>
  </si>
  <si>
    <t>MR62ZZ</t>
    <phoneticPr fontId="1"/>
  </si>
  <si>
    <t>3DP</t>
    <phoneticPr fontId="1"/>
  </si>
  <si>
    <t>電子工作</t>
    <rPh sb="0" eb="4">
      <t>デンシコウサク</t>
    </rPh>
    <phoneticPr fontId="1"/>
  </si>
  <si>
    <t>レーザー加工</t>
    <rPh sb="4" eb="6">
      <t>カコウ</t>
    </rPh>
    <phoneticPr fontId="1"/>
  </si>
  <si>
    <t>https://www.monotaro.com/g/02448146/</t>
    <phoneticPr fontId="1"/>
  </si>
  <si>
    <t>EA949GG-2</t>
    <phoneticPr fontId="1"/>
  </si>
  <si>
    <t>https://www.monotaro.com/p/0552/9334/</t>
    <phoneticPr fontId="1"/>
  </si>
  <si>
    <t>https://www.monotaro.com/p/6890/9076/</t>
    <phoneticPr fontId="1"/>
  </si>
  <si>
    <t>https://www.monotaro.com/p/6890/9085/</t>
    <phoneticPr fontId="1"/>
  </si>
  <si>
    <t>https://hands.net/goods/2400005343504/</t>
    <phoneticPr fontId="1"/>
  </si>
  <si>
    <t>スチロール半球　100φ</t>
    <phoneticPr fontId="1"/>
  </si>
  <si>
    <t>東急ハンズ</t>
    <rPh sb="0" eb="2">
      <t>トウキュウ</t>
    </rPh>
    <phoneticPr fontId="1"/>
  </si>
  <si>
    <t>SC0505C</t>
    <phoneticPr fontId="1"/>
  </si>
  <si>
    <t>https://www.monotaro.com/p/0694/0622/</t>
    <phoneticPr fontId="1"/>
  </si>
  <si>
    <t xml:space="preserve">スタンダードセットカラー黒染め </t>
    <phoneticPr fontId="1"/>
  </si>
  <si>
    <t>鉄製丸ボス</t>
    <phoneticPr fontId="1"/>
  </si>
  <si>
    <t>https://www.monotaro.com/p/8920/2872/</t>
    <phoneticPr fontId="1"/>
  </si>
  <si>
    <t>https://www.monotaro.com/p/0758/0284/</t>
    <phoneticPr fontId="1"/>
  </si>
  <si>
    <t>https://www.monotaro.com/p/1670/7942/</t>
    <phoneticPr fontId="1"/>
  </si>
  <si>
    <t>SB203030CD</t>
    <phoneticPr fontId="1"/>
  </si>
  <si>
    <t>https://www.monotaro.com/p/4210/7432/</t>
    <phoneticPr fontId="1"/>
  </si>
  <si>
    <t>https://www.monotaro.com/p/0550/6916/</t>
    <phoneticPr fontId="1"/>
  </si>
  <si>
    <t>https://www.monotaro.com/p/4222/0324/</t>
    <phoneticPr fontId="1"/>
  </si>
  <si>
    <t>https://www.monotaro.com/p/6891/0652/</t>
    <phoneticPr fontId="1"/>
  </si>
  <si>
    <t>B04-0410</t>
    <phoneticPr fontId="1"/>
  </si>
  <si>
    <t>https://www.monotaro.com/p/0832/9124/</t>
    <phoneticPr fontId="1"/>
  </si>
  <si>
    <t>三脚</t>
    <rPh sb="0" eb="2">
      <t>サンキャク</t>
    </rPh>
    <phoneticPr fontId="1"/>
  </si>
  <si>
    <t>1</t>
    <phoneticPr fontId="1"/>
  </si>
  <si>
    <t>1.1</t>
    <phoneticPr fontId="1"/>
  </si>
  <si>
    <t>1.2</t>
    <phoneticPr fontId="1"/>
  </si>
  <si>
    <t>2</t>
    <phoneticPr fontId="1"/>
  </si>
  <si>
    <t>小計</t>
    <rPh sb="0" eb="2">
      <t>ショウケイ</t>
    </rPh>
    <phoneticPr fontId="1"/>
  </si>
  <si>
    <t>2.1</t>
    <phoneticPr fontId="1"/>
  </si>
  <si>
    <t>2.2</t>
  </si>
  <si>
    <t>2.3</t>
  </si>
  <si>
    <t>2.4</t>
  </si>
  <si>
    <t>2.5</t>
  </si>
  <si>
    <t>2.6</t>
  </si>
  <si>
    <t>2.7</t>
  </si>
  <si>
    <t>2.8</t>
  </si>
  <si>
    <t>2.9</t>
  </si>
  <si>
    <t>https://www.monotaro.com/p/2634/4002/</t>
    <phoneticPr fontId="1"/>
  </si>
  <si>
    <t>基板本体</t>
    <rPh sb="0" eb="2">
      <t>キ</t>
    </rPh>
    <rPh sb="2" eb="4">
      <t>ホンタイ</t>
    </rPh>
    <phoneticPr fontId="1"/>
  </si>
  <si>
    <t>Main</t>
    <phoneticPr fontId="1"/>
  </si>
  <si>
    <t>トワイライト</t>
    <phoneticPr fontId="1"/>
  </si>
  <si>
    <t>秋月電子</t>
    <rPh sb="0" eb="2">
      <t>アキツキ</t>
    </rPh>
    <rPh sb="2" eb="4">
      <t>デンシ</t>
    </rPh>
    <phoneticPr fontId="1"/>
  </si>
  <si>
    <t>https://akizukidenshi.com/catalog/g/g108263/</t>
    <phoneticPr fontId="1"/>
  </si>
  <si>
    <t>トワイライトアンテナ</t>
    <phoneticPr fontId="1"/>
  </si>
  <si>
    <t>MW-A-P4208-10</t>
    <phoneticPr fontId="1"/>
  </si>
  <si>
    <t>https://akizukidenshi.com/catalog/g/g107734/</t>
    <phoneticPr fontId="1"/>
  </si>
  <si>
    <t>電池ボックス</t>
    <rPh sb="0" eb="2">
      <t>デンチ</t>
    </rPh>
    <phoneticPr fontId="1"/>
  </si>
  <si>
    <t>https://akizukidenshi.com/catalog/g/g112244/</t>
    <phoneticPr fontId="1"/>
  </si>
  <si>
    <t>BH-321-1ASTH-150MM</t>
    <phoneticPr fontId="1"/>
  </si>
  <si>
    <t>ATGM336H</t>
    <phoneticPr fontId="1"/>
  </si>
  <si>
    <t>GPS</t>
    <phoneticPr fontId="1"/>
  </si>
  <si>
    <t>3.3V昇降圧DCDC</t>
    <rPh sb="4" eb="5">
      <t>ノボル</t>
    </rPh>
    <rPh sb="5" eb="7">
      <t>コウアツ</t>
    </rPh>
    <phoneticPr fontId="1"/>
  </si>
  <si>
    <t>5V昇降圧DCDC</t>
    <rPh sb="2" eb="3">
      <t>ノボル</t>
    </rPh>
    <rPh sb="3" eb="5">
      <t>コウアツ</t>
    </rPh>
    <phoneticPr fontId="1"/>
  </si>
  <si>
    <t>その他コネクタ等</t>
    <rPh sb="2" eb="3">
      <t>タ</t>
    </rPh>
    <rPh sb="7" eb="8">
      <t>トウ</t>
    </rPh>
    <phoneticPr fontId="1"/>
  </si>
  <si>
    <t>OpenLog</t>
    <phoneticPr fontId="1"/>
  </si>
  <si>
    <t>構造</t>
    <rPh sb="0" eb="2">
      <t>コウゾウ</t>
    </rPh>
    <phoneticPr fontId="1"/>
  </si>
  <si>
    <t>電子</t>
    <rPh sb="0" eb="2">
      <t>デンシ</t>
    </rPh>
    <phoneticPr fontId="1"/>
  </si>
  <si>
    <t>価格</t>
    <rPh sb="0" eb="2">
      <t>カカク</t>
    </rPh>
    <phoneticPr fontId="1"/>
  </si>
  <si>
    <t>水準器</t>
    <rPh sb="0" eb="3">
      <t>スイジュンキ</t>
    </rPh>
    <phoneticPr fontId="1"/>
  </si>
  <si>
    <t>コンパス</t>
    <phoneticPr fontId="1"/>
  </si>
  <si>
    <t>GBA固有</t>
    <rPh sb="3" eb="5">
      <t>コユウ</t>
    </rPh>
    <phoneticPr fontId="1"/>
  </si>
  <si>
    <t>2.10</t>
  </si>
  <si>
    <t>環境センサ</t>
    <rPh sb="0" eb="2">
      <t>カンキョウ</t>
    </rPh>
    <phoneticPr fontId="1"/>
  </si>
  <si>
    <t>AHT20 + BMP280</t>
    <phoneticPr fontId="1"/>
  </si>
  <si>
    <t>カップ・風見式</t>
    <rPh sb="4" eb="6">
      <t>カザミ</t>
    </rPh>
    <rPh sb="6" eb="7">
      <t>シキ</t>
    </rPh>
    <phoneticPr fontId="1"/>
  </si>
  <si>
    <t>超音波式</t>
    <rPh sb="0" eb="3">
      <t>チョウオンパ</t>
    </rPh>
    <rPh sb="3" eb="4">
      <t>シキ</t>
    </rPh>
    <phoneticPr fontId="1"/>
  </si>
  <si>
    <t>TWE-L-DP-U</t>
    <phoneticPr fontId="1"/>
  </si>
  <si>
    <t>変換ネジ</t>
    <rPh sb="0" eb="2">
      <t>ヘンカン</t>
    </rPh>
    <phoneticPr fontId="1"/>
  </si>
  <si>
    <t>https://www.amazon.co.jp/dp/B09TFS8XZX/</t>
    <phoneticPr fontId="1"/>
  </si>
  <si>
    <t>https://www.amazon.co.jp/dp/B0DQPBMQ2Y/</t>
    <phoneticPr fontId="1"/>
  </si>
  <si>
    <t>https://www.monotaro.com/p/6279/3282/</t>
    <phoneticPr fontId="1"/>
  </si>
  <si>
    <t>三脚に付属</t>
    <rPh sb="0" eb="2">
      <t>サン</t>
    </rPh>
    <rPh sb="3" eb="5">
      <t>フゾク</t>
    </rPh>
    <phoneticPr fontId="1"/>
  </si>
  <si>
    <t>https://www.monotaro.com/g/00688747/</t>
    <phoneticPr fontId="1"/>
  </si>
  <si>
    <t>化粧ネジ</t>
    <rPh sb="0" eb="4">
      <t>ケショウ</t>
    </rPh>
    <phoneticPr fontId="1"/>
  </si>
  <si>
    <t>https://www.monotaro.com/p/4212/1414/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</si>
</sst>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2" fillId="0" borderId="0" xfId="0" applyFont="1" applyAlignment="1">
      <alignment horizontal="left"/>
    </xf>
    <xf numFmtId="0" fontId="2" fillId="0" borderId="0" xfId="0" quotePrefix="1" applyFont="1"/>
    <xf numFmtId="0" fontId="3" fillId="0" borderId="0" xfId="0" quotePrefix="1" applyFont="1"/>
    <xf numFmtId="0" fontId="5" fillId="0" borderId="0" xfId="0" applyFont="1"/>
    <xf numFmtId="0" fontId="6" fillId="0" borderId="0" xfId="1" applyFont="1"/>
    <xf numFmtId="3" fontId="3" fillId="0" borderId="0" xfId="0" applyNumberFormat="1" applyFont="1"/>
    <xf numFmtId="0" fontId="2" fillId="0" borderId="0" xfId="1" applyFont="1"/>
    <xf numFmtId="0" fontId="3" fillId="2" borderId="0" xfId="0" applyFont="1" applyFill="1"/>
    <xf numFmtId="0" fontId="5" fillId="2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g/00688747/" TargetMode="External"/><Relationship Id="rId2" Type="http://schemas.openxmlformats.org/officeDocument/2006/relationships/hyperlink" Target="https://www.monotaro.com/p/6279/3282/" TargetMode="External"/><Relationship Id="rId1" Type="http://schemas.openxmlformats.org/officeDocument/2006/relationships/hyperlink" Target="https://www.amazon.co.jp/dp/B09TFS8XZX/" TargetMode="External"/><Relationship Id="rId4" Type="http://schemas.openxmlformats.org/officeDocument/2006/relationships/hyperlink" Target="https://www.monotaro.com/p/4212/1414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notaro.com/p/6890/9076/" TargetMode="External"/><Relationship Id="rId13" Type="http://schemas.openxmlformats.org/officeDocument/2006/relationships/hyperlink" Target="https://www.monotaro.com/p/0758/0284/" TargetMode="External"/><Relationship Id="rId18" Type="http://schemas.openxmlformats.org/officeDocument/2006/relationships/hyperlink" Target="https://www.monotaro.com/p/6891/0652/" TargetMode="External"/><Relationship Id="rId3" Type="http://schemas.openxmlformats.org/officeDocument/2006/relationships/hyperlink" Target="https://www.monotaro.com/p/1113/9923/" TargetMode="External"/><Relationship Id="rId7" Type="http://schemas.openxmlformats.org/officeDocument/2006/relationships/hyperlink" Target="https://www.monotaro.com/p/0552/9334/" TargetMode="External"/><Relationship Id="rId12" Type="http://schemas.openxmlformats.org/officeDocument/2006/relationships/hyperlink" Target="https://www.monotaro.com/p/8920/2872/" TargetMode="External"/><Relationship Id="rId17" Type="http://schemas.openxmlformats.org/officeDocument/2006/relationships/hyperlink" Target="https://www.monotaro.com/p/4222/0324/" TargetMode="External"/><Relationship Id="rId2" Type="http://schemas.openxmlformats.org/officeDocument/2006/relationships/hyperlink" Target="https://www.monotaro.com/p/1113/9783/" TargetMode="External"/><Relationship Id="rId16" Type="http://schemas.openxmlformats.org/officeDocument/2006/relationships/hyperlink" Target="https://www.monotaro.com/p/0550/6916/" TargetMode="External"/><Relationship Id="rId20" Type="http://schemas.openxmlformats.org/officeDocument/2006/relationships/hyperlink" Target="https://www.amazon.co.jp/dp/B0DQPBMQ2Y/" TargetMode="External"/><Relationship Id="rId1" Type="http://schemas.openxmlformats.org/officeDocument/2006/relationships/hyperlink" Target="https://www.monotaro.com/p/1113/9844/" TargetMode="External"/><Relationship Id="rId6" Type="http://schemas.openxmlformats.org/officeDocument/2006/relationships/hyperlink" Target="https://www.monotaro.com/g/02448146/" TargetMode="External"/><Relationship Id="rId11" Type="http://schemas.openxmlformats.org/officeDocument/2006/relationships/hyperlink" Target="https://www.monotaro.com/p/0694/0622/" TargetMode="External"/><Relationship Id="rId5" Type="http://schemas.openxmlformats.org/officeDocument/2006/relationships/hyperlink" Target="https://www.monotaro.com/p/4215/5802/" TargetMode="External"/><Relationship Id="rId15" Type="http://schemas.openxmlformats.org/officeDocument/2006/relationships/hyperlink" Target="https://www.monotaro.com/p/4210/7432/" TargetMode="External"/><Relationship Id="rId10" Type="http://schemas.openxmlformats.org/officeDocument/2006/relationships/hyperlink" Target="https://hands.net/goods/2400005343504/" TargetMode="External"/><Relationship Id="rId19" Type="http://schemas.openxmlformats.org/officeDocument/2006/relationships/hyperlink" Target="https://www.monotaro.com/p/0832/9124/" TargetMode="External"/><Relationship Id="rId4" Type="http://schemas.openxmlformats.org/officeDocument/2006/relationships/hyperlink" Target="https://www.monotaro.com/p/4215/5775/" TargetMode="External"/><Relationship Id="rId9" Type="http://schemas.openxmlformats.org/officeDocument/2006/relationships/hyperlink" Target="https://www.monotaro.com/p/6890/9085/" TargetMode="External"/><Relationship Id="rId14" Type="http://schemas.openxmlformats.org/officeDocument/2006/relationships/hyperlink" Target="https://www.monotaro.com/p/1670/7942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107734/" TargetMode="External"/><Relationship Id="rId2" Type="http://schemas.openxmlformats.org/officeDocument/2006/relationships/hyperlink" Target="https://akizukidenshi.com/catalog/g/g108263/" TargetMode="External"/><Relationship Id="rId1" Type="http://schemas.openxmlformats.org/officeDocument/2006/relationships/hyperlink" Target="https://www.monotaro.com/p/2634/4002/" TargetMode="External"/><Relationship Id="rId4" Type="http://schemas.openxmlformats.org/officeDocument/2006/relationships/hyperlink" Target="https://akizukidenshi.com/catalog/g/g11224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09F4-1CEE-45EA-8E4E-B975B6FE33D0}">
  <dimension ref="B2:H24"/>
  <sheetViews>
    <sheetView tabSelected="1" workbookViewId="0">
      <selection activeCell="R10" sqref="R10"/>
    </sheetView>
  </sheetViews>
  <sheetFormatPr defaultRowHeight="14" x14ac:dyDescent="0.2"/>
  <cols>
    <col min="1" max="1" width="8.7265625" style="7"/>
    <col min="2" max="2" width="14.6328125" style="7" bestFit="1" customWidth="1"/>
    <col min="3" max="16384" width="8.7265625" style="7"/>
  </cols>
  <sheetData>
    <row r="2" spans="2:8" x14ac:dyDescent="0.2">
      <c r="C2" s="7">
        <f>SUM(C5:C10)</f>
        <v>10392.25893939394</v>
      </c>
    </row>
    <row r="4" spans="2:8" x14ac:dyDescent="0.2">
      <c r="C4" s="7" t="s">
        <v>148</v>
      </c>
      <c r="D4" s="7" t="s">
        <v>74</v>
      </c>
    </row>
    <row r="5" spans="2:8" x14ac:dyDescent="0.2">
      <c r="B5" s="7" t="s">
        <v>146</v>
      </c>
      <c r="C5" s="7">
        <f>構造!G4</f>
        <v>2102.9389393939396</v>
      </c>
    </row>
    <row r="6" spans="2:8" x14ac:dyDescent="0.2">
      <c r="B6" s="7" t="s">
        <v>147</v>
      </c>
      <c r="C6" s="7">
        <f>電子!G2</f>
        <v>4649.8200000000006</v>
      </c>
    </row>
    <row r="7" spans="2:8" x14ac:dyDescent="0.2">
      <c r="B7" s="7" t="s">
        <v>113</v>
      </c>
      <c r="C7" s="7">
        <v>2998</v>
      </c>
      <c r="D7" s="3" t="s">
        <v>161</v>
      </c>
      <c r="H7" s="12"/>
    </row>
    <row r="8" spans="2:8" x14ac:dyDescent="0.2">
      <c r="B8" s="7" t="s">
        <v>149</v>
      </c>
      <c r="C8" s="7">
        <v>0</v>
      </c>
      <c r="D8" s="10" t="s">
        <v>162</v>
      </c>
    </row>
    <row r="9" spans="2:8" x14ac:dyDescent="0.2">
      <c r="B9" s="7" t="s">
        <v>150</v>
      </c>
      <c r="C9" s="7">
        <v>379</v>
      </c>
      <c r="D9" s="3" t="s">
        <v>163</v>
      </c>
      <c r="H9" s="12"/>
    </row>
    <row r="10" spans="2:8" x14ac:dyDescent="0.2">
      <c r="B10" s="7" t="s">
        <v>158</v>
      </c>
      <c r="C10" s="7">
        <f>525/2</f>
        <v>262.5</v>
      </c>
      <c r="D10" s="8" t="s">
        <v>159</v>
      </c>
      <c r="H10" s="12"/>
    </row>
    <row r="11" spans="2:8" x14ac:dyDescent="0.2">
      <c r="B11" s="7" t="s">
        <v>164</v>
      </c>
      <c r="D11" s="3" t="s">
        <v>165</v>
      </c>
    </row>
    <row r="12" spans="2:8" x14ac:dyDescent="0.2">
      <c r="C12" s="7">
        <f>SUM(C15:C19)</f>
        <v>3129.5889393939397</v>
      </c>
    </row>
    <row r="14" spans="2:8" x14ac:dyDescent="0.2">
      <c r="B14" s="7" t="s">
        <v>151</v>
      </c>
    </row>
    <row r="15" spans="2:8" x14ac:dyDescent="0.2">
      <c r="B15" s="7" t="s">
        <v>146</v>
      </c>
      <c r="C15" s="7">
        <f>構造!I4</f>
        <v>1820.9189393939396</v>
      </c>
    </row>
    <row r="16" spans="2:8" x14ac:dyDescent="0.2">
      <c r="B16" s="7" t="s">
        <v>147</v>
      </c>
      <c r="C16" s="7">
        <f>電子!I2</f>
        <v>1059.92</v>
      </c>
    </row>
    <row r="17" spans="2:3" x14ac:dyDescent="0.2">
      <c r="B17" s="7" t="s">
        <v>113</v>
      </c>
      <c r="C17" s="7">
        <v>0</v>
      </c>
    </row>
    <row r="18" spans="2:3" x14ac:dyDescent="0.2">
      <c r="B18" s="7" t="s">
        <v>149</v>
      </c>
      <c r="C18" s="7">
        <f>450/4</f>
        <v>112.5</v>
      </c>
    </row>
    <row r="19" spans="2:3" x14ac:dyDescent="0.2">
      <c r="B19" s="7" t="s">
        <v>150</v>
      </c>
      <c r="C19" s="7">
        <f>545/4</f>
        <v>136.25</v>
      </c>
    </row>
    <row r="22" spans="2:3" x14ac:dyDescent="0.2">
      <c r="B22" s="7" t="s">
        <v>155</v>
      </c>
      <c r="C22" s="7">
        <v>4878</v>
      </c>
    </row>
    <row r="24" spans="2:3" x14ac:dyDescent="0.2">
      <c r="B24" s="7" t="s">
        <v>156</v>
      </c>
      <c r="C24" s="9">
        <v>17637</v>
      </c>
    </row>
  </sheetData>
  <phoneticPr fontId="1"/>
  <hyperlinks>
    <hyperlink ref="D10" r:id="rId1" xr:uid="{7FD6E337-3884-46AC-A1BB-5864F1886C0C}"/>
    <hyperlink ref="D7" r:id="rId2" xr:uid="{FE59CCC9-FDFB-4902-9712-F23420225F36}"/>
    <hyperlink ref="D9" r:id="rId3" xr:uid="{3E5DD548-8F57-41E7-AB74-92584C454CC2}"/>
    <hyperlink ref="D11" r:id="rId4" xr:uid="{CACFAB17-E81F-44C3-BE80-C4AEA631B4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workbookViewId="0">
      <selection activeCell="K33" sqref="K33"/>
    </sheetView>
  </sheetViews>
  <sheetFormatPr defaultRowHeight="14" outlineLevelCol="1" x14ac:dyDescent="0.2"/>
  <cols>
    <col min="1" max="1" width="16" style="1" bestFit="1" customWidth="1"/>
    <col min="2" max="2" width="35.1796875" style="1" bestFit="1" customWidth="1"/>
    <col min="3" max="3" width="32" style="1" customWidth="1"/>
    <col min="4" max="4" width="6" style="1" bestFit="1" customWidth="1"/>
    <col min="5" max="5" width="20.453125" style="2" customWidth="1"/>
    <col min="6" max="7" width="20" style="2" hidden="1" customWidth="1" outlineLevel="1"/>
    <col min="8" max="8" width="9.81640625" style="2" hidden="1" customWidth="1" outlineLevel="1"/>
    <col min="9" max="9" width="13.54296875" style="2" hidden="1" customWidth="1" outlineLevel="1"/>
    <col min="10" max="10" width="53" style="2" customWidth="1" collapsed="1"/>
    <col min="11" max="16384" width="8.7265625" style="2"/>
  </cols>
  <sheetData>
    <row r="1" spans="1:11" x14ac:dyDescent="0.2">
      <c r="A1" s="1" t="s">
        <v>0</v>
      </c>
      <c r="B1" s="1" t="s">
        <v>1</v>
      </c>
    </row>
    <row r="2" spans="1:11" x14ac:dyDescent="0.2">
      <c r="A2" s="1" t="s">
        <v>2</v>
      </c>
      <c r="B2" s="1" t="s">
        <v>3</v>
      </c>
    </row>
    <row r="3" spans="1:11" x14ac:dyDescent="0.2">
      <c r="A3" s="1" t="s">
        <v>4</v>
      </c>
      <c r="B3" s="1" t="s">
        <v>5</v>
      </c>
    </row>
    <row r="4" spans="1:11" x14ac:dyDescent="0.2">
      <c r="A4" s="1" t="s">
        <v>6</v>
      </c>
      <c r="B4" s="1" t="s">
        <v>7</v>
      </c>
      <c r="G4" s="2">
        <f>SUM(G7:G33)</f>
        <v>2102.9389393939396</v>
      </c>
      <c r="I4" s="2">
        <f>SUM(I7:I33)</f>
        <v>1820.9189393939396</v>
      </c>
    </row>
    <row r="5" spans="1:11" x14ac:dyDescent="0.2">
      <c r="A5" s="1" t="s">
        <v>8</v>
      </c>
    </row>
    <row r="6" spans="1:11" x14ac:dyDescent="0.2">
      <c r="A6" s="1" t="s">
        <v>9</v>
      </c>
      <c r="B6" s="1" t="s">
        <v>10</v>
      </c>
      <c r="C6" s="1" t="s">
        <v>72</v>
      </c>
      <c r="D6" s="1" t="s">
        <v>11</v>
      </c>
      <c r="E6" s="1" t="s">
        <v>64</v>
      </c>
      <c r="F6" s="2" t="s">
        <v>69</v>
      </c>
      <c r="G6" s="2" t="s">
        <v>118</v>
      </c>
      <c r="H6" s="2" t="s">
        <v>151</v>
      </c>
      <c r="J6" s="2" t="s">
        <v>74</v>
      </c>
    </row>
    <row r="7" spans="1:11" x14ac:dyDescent="0.2">
      <c r="A7" s="1" t="s">
        <v>12</v>
      </c>
      <c r="B7" s="1" t="s">
        <v>13</v>
      </c>
      <c r="C7" s="4" t="s">
        <v>92</v>
      </c>
      <c r="D7" s="1">
        <v>10</v>
      </c>
      <c r="E7" s="1" t="s">
        <v>65</v>
      </c>
      <c r="F7" s="2">
        <f>425/150</f>
        <v>2.8333333333333335</v>
      </c>
      <c r="G7" s="2">
        <f>F7*D7</f>
        <v>28.333333333333336</v>
      </c>
      <c r="H7" s="2" t="b">
        <v>1</v>
      </c>
      <c r="I7" s="2">
        <f>IF(H7,G7,0)</f>
        <v>28.333333333333336</v>
      </c>
      <c r="J7" s="3" t="s">
        <v>91</v>
      </c>
      <c r="K7" s="11"/>
    </row>
    <row r="8" spans="1:11" x14ac:dyDescent="0.2">
      <c r="A8" s="1" t="s">
        <v>15</v>
      </c>
      <c r="B8" s="1" t="s">
        <v>71</v>
      </c>
      <c r="C8" s="4" t="s">
        <v>76</v>
      </c>
      <c r="D8" s="1">
        <v>4</v>
      </c>
      <c r="E8" s="2" t="s">
        <v>65</v>
      </c>
      <c r="F8" s="2">
        <f>889/50</f>
        <v>17.78</v>
      </c>
      <c r="G8" s="2">
        <f t="shared" ref="G8:G33" si="0">F8*D8</f>
        <v>71.12</v>
      </c>
      <c r="H8" s="2" t="b">
        <v>1</v>
      </c>
      <c r="I8" s="2">
        <f t="shared" ref="I8:I33" si="1">IF(H8,G8,0)</f>
        <v>71.12</v>
      </c>
      <c r="J8" s="3" t="s">
        <v>75</v>
      </c>
      <c r="K8" s="11"/>
    </row>
    <row r="9" spans="1:11" x14ac:dyDescent="0.2">
      <c r="A9" s="1" t="s">
        <v>16</v>
      </c>
      <c r="B9" s="1" t="s">
        <v>17</v>
      </c>
      <c r="C9" s="4">
        <v>42155775</v>
      </c>
      <c r="D9" s="1">
        <v>1</v>
      </c>
      <c r="E9" s="2" t="s">
        <v>65</v>
      </c>
      <c r="F9" s="2">
        <f>448/7</f>
        <v>64</v>
      </c>
      <c r="G9" s="2">
        <f t="shared" si="0"/>
        <v>64</v>
      </c>
      <c r="H9" s="2" t="b">
        <v>1</v>
      </c>
      <c r="I9" s="2">
        <f t="shared" si="1"/>
        <v>64</v>
      </c>
      <c r="J9" s="3" t="s">
        <v>83</v>
      </c>
      <c r="K9" s="11"/>
    </row>
    <row r="10" spans="1:11" x14ac:dyDescent="0.2">
      <c r="A10" s="1" t="s">
        <v>18</v>
      </c>
      <c r="B10" s="1" t="s">
        <v>19</v>
      </c>
      <c r="C10" s="4">
        <v>68909076</v>
      </c>
      <c r="D10" s="1">
        <v>2</v>
      </c>
      <c r="E10" s="2" t="s">
        <v>65</v>
      </c>
      <c r="F10" s="2">
        <f>988/38</f>
        <v>26</v>
      </c>
      <c r="G10" s="2">
        <f t="shared" si="0"/>
        <v>52</v>
      </c>
      <c r="H10" s="2" t="b">
        <v>1</v>
      </c>
      <c r="I10" s="2">
        <f t="shared" si="1"/>
        <v>52</v>
      </c>
      <c r="J10" s="3" t="s">
        <v>94</v>
      </c>
      <c r="K10" s="11"/>
    </row>
    <row r="11" spans="1:11" x14ac:dyDescent="0.2">
      <c r="A11" s="1" t="s">
        <v>20</v>
      </c>
      <c r="B11" s="1" t="s">
        <v>21</v>
      </c>
      <c r="C11" s="4" t="s">
        <v>67</v>
      </c>
      <c r="D11" s="1">
        <v>1</v>
      </c>
      <c r="E11" s="2" t="s">
        <v>88</v>
      </c>
      <c r="F11" s="2">
        <v>0</v>
      </c>
      <c r="G11" s="2">
        <f t="shared" si="0"/>
        <v>0</v>
      </c>
      <c r="H11" s="2" t="b">
        <v>1</v>
      </c>
      <c r="I11" s="2">
        <f t="shared" si="1"/>
        <v>0</v>
      </c>
    </row>
    <row r="12" spans="1:11" x14ac:dyDescent="0.2">
      <c r="A12" s="1" t="s">
        <v>22</v>
      </c>
      <c r="B12" s="1" t="s">
        <v>23</v>
      </c>
      <c r="C12" s="4" t="s">
        <v>78</v>
      </c>
      <c r="D12" s="1">
        <v>2</v>
      </c>
      <c r="E12" s="2" t="s">
        <v>65</v>
      </c>
      <c r="F12" s="2">
        <f>889/50</f>
        <v>17.78</v>
      </c>
      <c r="G12" s="2">
        <f t="shared" si="0"/>
        <v>35.56</v>
      </c>
      <c r="H12" s="2" t="b">
        <v>1</v>
      </c>
      <c r="I12" s="2">
        <f t="shared" si="1"/>
        <v>35.56</v>
      </c>
      <c r="J12" s="3" t="s">
        <v>77</v>
      </c>
      <c r="K12" s="11"/>
    </row>
    <row r="13" spans="1:11" x14ac:dyDescent="0.2">
      <c r="A13" s="1" t="s">
        <v>24</v>
      </c>
      <c r="B13" s="1" t="s">
        <v>25</v>
      </c>
      <c r="C13" s="4" t="s">
        <v>67</v>
      </c>
      <c r="D13" s="1">
        <v>1</v>
      </c>
      <c r="E13" s="2" t="s">
        <v>88</v>
      </c>
      <c r="F13" s="2">
        <v>0</v>
      </c>
      <c r="G13" s="2">
        <f t="shared" si="0"/>
        <v>0</v>
      </c>
      <c r="H13" s="2" t="b">
        <v>1</v>
      </c>
      <c r="I13" s="2">
        <f t="shared" si="1"/>
        <v>0</v>
      </c>
    </row>
    <row r="14" spans="1:11" x14ac:dyDescent="0.2">
      <c r="A14" s="1" t="s">
        <v>26</v>
      </c>
      <c r="B14" s="1" t="s">
        <v>85</v>
      </c>
      <c r="C14" s="4" t="s">
        <v>87</v>
      </c>
      <c r="D14" s="1">
        <v>3</v>
      </c>
      <c r="E14" s="2" t="s">
        <v>86</v>
      </c>
      <c r="F14" s="2">
        <f>1775/15</f>
        <v>118.33333333333333</v>
      </c>
      <c r="G14" s="2">
        <f t="shared" si="0"/>
        <v>355</v>
      </c>
      <c r="H14" s="2" t="b">
        <v>1</v>
      </c>
      <c r="I14" s="2">
        <f t="shared" si="1"/>
        <v>355</v>
      </c>
      <c r="J14" s="3" t="s">
        <v>160</v>
      </c>
      <c r="K14" s="11"/>
    </row>
    <row r="15" spans="1:11" x14ac:dyDescent="0.2">
      <c r="A15" s="1" t="s">
        <v>27</v>
      </c>
      <c r="B15" s="1" t="s">
        <v>28</v>
      </c>
      <c r="C15" s="4" t="s">
        <v>67</v>
      </c>
      <c r="D15" s="1">
        <v>1</v>
      </c>
      <c r="E15" s="2" t="s">
        <v>88</v>
      </c>
      <c r="F15" s="2">
        <v>0</v>
      </c>
      <c r="G15" s="2">
        <f t="shared" si="0"/>
        <v>0</v>
      </c>
      <c r="H15" s="2" t="b">
        <v>1</v>
      </c>
      <c r="I15" s="2">
        <f t="shared" si="1"/>
        <v>0</v>
      </c>
    </row>
    <row r="16" spans="1:11" x14ac:dyDescent="0.2">
      <c r="A16" s="1" t="s">
        <v>29</v>
      </c>
      <c r="B16" s="1" t="s">
        <v>30</v>
      </c>
      <c r="C16" s="4" t="s">
        <v>97</v>
      </c>
      <c r="D16" s="1">
        <v>1</v>
      </c>
      <c r="E16" s="2" t="s">
        <v>98</v>
      </c>
      <c r="F16" s="2">
        <f>228*2</f>
        <v>456</v>
      </c>
      <c r="G16" s="2">
        <f t="shared" si="0"/>
        <v>456</v>
      </c>
      <c r="H16" s="2" t="b">
        <v>1</v>
      </c>
      <c r="I16" s="2">
        <f t="shared" si="1"/>
        <v>456</v>
      </c>
      <c r="J16" s="3" t="s">
        <v>96</v>
      </c>
    </row>
    <row r="17" spans="1:11" x14ac:dyDescent="0.2">
      <c r="A17" s="1" t="s">
        <v>31</v>
      </c>
      <c r="B17" s="1" t="s">
        <v>32</v>
      </c>
      <c r="C17" s="4">
        <v>42155802</v>
      </c>
      <c r="D17" s="1">
        <v>1</v>
      </c>
      <c r="E17" s="2" t="s">
        <v>65</v>
      </c>
      <c r="F17" s="2">
        <f>539/7</f>
        <v>77</v>
      </c>
      <c r="G17" s="2">
        <f t="shared" si="0"/>
        <v>77</v>
      </c>
      <c r="H17" s="2" t="b">
        <v>1</v>
      </c>
      <c r="I17" s="2">
        <f t="shared" si="1"/>
        <v>77</v>
      </c>
      <c r="J17" s="3" t="s">
        <v>84</v>
      </c>
      <c r="K17" s="11"/>
    </row>
    <row r="18" spans="1:11" x14ac:dyDescent="0.2">
      <c r="A18" s="1" t="s">
        <v>33</v>
      </c>
      <c r="B18" s="1" t="s">
        <v>34</v>
      </c>
      <c r="C18" s="4" t="s">
        <v>67</v>
      </c>
      <c r="D18" s="1">
        <v>1</v>
      </c>
      <c r="E18" s="2" t="s">
        <v>88</v>
      </c>
      <c r="F18" s="2">
        <v>0</v>
      </c>
      <c r="G18" s="2">
        <f t="shared" si="0"/>
        <v>0</v>
      </c>
      <c r="H18" s="2" t="b">
        <v>1</v>
      </c>
      <c r="I18" s="2">
        <f t="shared" si="1"/>
        <v>0</v>
      </c>
    </row>
    <row r="19" spans="1:11" x14ac:dyDescent="0.2">
      <c r="A19" s="1" t="s">
        <v>35</v>
      </c>
      <c r="B19" s="1" t="s">
        <v>99</v>
      </c>
      <c r="C19" s="4" t="s">
        <v>101</v>
      </c>
      <c r="D19" s="1">
        <v>2</v>
      </c>
      <c r="E19" s="2" t="s">
        <v>65</v>
      </c>
      <c r="F19" s="2">
        <v>158</v>
      </c>
      <c r="G19" s="2">
        <f t="shared" si="0"/>
        <v>316</v>
      </c>
      <c r="H19" s="2" t="b">
        <v>1</v>
      </c>
      <c r="I19" s="2">
        <f t="shared" si="1"/>
        <v>316</v>
      </c>
      <c r="J19" s="3" t="s">
        <v>100</v>
      </c>
      <c r="K19" s="11"/>
    </row>
    <row r="20" spans="1:11" x14ac:dyDescent="0.2">
      <c r="A20" s="1" t="s">
        <v>36</v>
      </c>
      <c r="B20" s="1" t="s">
        <v>37</v>
      </c>
      <c r="C20" s="4" t="s">
        <v>102</v>
      </c>
      <c r="D20" s="1">
        <v>1</v>
      </c>
      <c r="E20" s="2" t="s">
        <v>65</v>
      </c>
      <c r="F20" s="2">
        <v>82</v>
      </c>
      <c r="G20" s="2">
        <f t="shared" si="0"/>
        <v>82</v>
      </c>
      <c r="H20" s="2" t="b">
        <v>1</v>
      </c>
      <c r="I20" s="2">
        <f t="shared" si="1"/>
        <v>82</v>
      </c>
      <c r="J20" s="3" t="s">
        <v>103</v>
      </c>
      <c r="K20" s="11"/>
    </row>
    <row r="21" spans="1:11" x14ac:dyDescent="0.2">
      <c r="A21" s="1" t="s">
        <v>38</v>
      </c>
      <c r="B21" s="1" t="s">
        <v>39</v>
      </c>
      <c r="C21" s="4">
        <v>7580284</v>
      </c>
      <c r="D21" s="1">
        <v>1</v>
      </c>
      <c r="E21" s="2" t="s">
        <v>65</v>
      </c>
      <c r="F21" s="2">
        <f>239/3</f>
        <v>79.666666666666671</v>
      </c>
      <c r="G21" s="2">
        <f t="shared" si="0"/>
        <v>79.666666666666671</v>
      </c>
      <c r="H21" s="2" t="b">
        <v>1</v>
      </c>
      <c r="I21" s="2">
        <f t="shared" si="1"/>
        <v>79.666666666666671</v>
      </c>
      <c r="J21" s="3" t="s">
        <v>104</v>
      </c>
      <c r="K21" s="11"/>
    </row>
    <row r="22" spans="1:11" x14ac:dyDescent="0.2">
      <c r="A22" s="1" t="s">
        <v>40</v>
      </c>
      <c r="B22" s="1" t="s">
        <v>41</v>
      </c>
      <c r="C22" s="4" t="s">
        <v>67</v>
      </c>
      <c r="D22" s="1">
        <v>1</v>
      </c>
      <c r="E22" s="2" t="s">
        <v>90</v>
      </c>
      <c r="F22" s="2">
        <v>0</v>
      </c>
      <c r="G22" s="2">
        <f t="shared" si="0"/>
        <v>0</v>
      </c>
      <c r="H22" s="2" t="b">
        <v>0</v>
      </c>
      <c r="I22" s="2">
        <f t="shared" si="1"/>
        <v>0</v>
      </c>
    </row>
    <row r="23" spans="1:11" x14ac:dyDescent="0.2">
      <c r="A23" s="1" t="s">
        <v>42</v>
      </c>
      <c r="B23" s="1" t="s">
        <v>43</v>
      </c>
      <c r="C23" s="4">
        <v>5529334</v>
      </c>
      <c r="D23" s="1">
        <v>5</v>
      </c>
      <c r="E23" s="2" t="s">
        <v>65</v>
      </c>
      <c r="F23" s="2">
        <f>699/300</f>
        <v>2.33</v>
      </c>
      <c r="G23" s="2">
        <f t="shared" si="0"/>
        <v>11.65</v>
      </c>
      <c r="H23" s="2" t="b">
        <v>1</v>
      </c>
      <c r="I23" s="2">
        <f t="shared" si="1"/>
        <v>11.65</v>
      </c>
      <c r="J23" s="3" t="s">
        <v>93</v>
      </c>
      <c r="K23" s="11"/>
    </row>
    <row r="24" spans="1:11" x14ac:dyDescent="0.2">
      <c r="A24" s="1" t="s">
        <v>44</v>
      </c>
      <c r="B24" s="1" t="s">
        <v>45</v>
      </c>
      <c r="C24" s="4" t="s">
        <v>111</v>
      </c>
      <c r="D24" s="1">
        <v>4</v>
      </c>
      <c r="E24" s="2" t="s">
        <v>65</v>
      </c>
      <c r="F24" s="2">
        <f>819/200</f>
        <v>4.0949999999999998</v>
      </c>
      <c r="G24" s="2">
        <f t="shared" si="0"/>
        <v>16.38</v>
      </c>
      <c r="H24" s="2" t="b">
        <v>0</v>
      </c>
      <c r="I24" s="2">
        <f t="shared" si="1"/>
        <v>0</v>
      </c>
      <c r="J24" s="3" t="s">
        <v>112</v>
      </c>
      <c r="K24" s="11"/>
    </row>
    <row r="25" spans="1:11" x14ac:dyDescent="0.2">
      <c r="A25" s="1" t="s">
        <v>46</v>
      </c>
      <c r="B25" s="1" t="s">
        <v>47</v>
      </c>
      <c r="C25" s="4">
        <v>16707942</v>
      </c>
      <c r="D25" s="1">
        <v>1</v>
      </c>
      <c r="E25" s="2" t="s">
        <v>65</v>
      </c>
      <c r="F25" s="2">
        <f>1698/10</f>
        <v>169.8</v>
      </c>
      <c r="G25" s="2">
        <f t="shared" si="0"/>
        <v>169.8</v>
      </c>
      <c r="H25" s="2" t="b">
        <v>0</v>
      </c>
      <c r="I25" s="2">
        <f t="shared" si="1"/>
        <v>0</v>
      </c>
      <c r="J25" s="3" t="s">
        <v>105</v>
      </c>
      <c r="K25" s="11"/>
    </row>
    <row r="26" spans="1:11" x14ac:dyDescent="0.2">
      <c r="A26" s="1" t="s">
        <v>48</v>
      </c>
      <c r="B26" s="1" t="s">
        <v>49</v>
      </c>
      <c r="C26" s="4" t="s">
        <v>67</v>
      </c>
      <c r="D26" s="1">
        <v>1</v>
      </c>
      <c r="E26" s="2" t="s">
        <v>88</v>
      </c>
      <c r="F26" s="2">
        <v>0</v>
      </c>
      <c r="G26" s="2">
        <f t="shared" si="0"/>
        <v>0</v>
      </c>
      <c r="H26" s="2" t="b">
        <v>0</v>
      </c>
      <c r="I26" s="2">
        <f t="shared" si="1"/>
        <v>0</v>
      </c>
    </row>
    <row r="27" spans="1:11" x14ac:dyDescent="0.2">
      <c r="A27" s="1" t="s">
        <v>50</v>
      </c>
      <c r="B27" s="1" t="s">
        <v>51</v>
      </c>
      <c r="C27" s="4">
        <v>68910652</v>
      </c>
      <c r="D27" s="1">
        <v>4</v>
      </c>
      <c r="E27" s="2" t="s">
        <v>65</v>
      </c>
      <c r="F27" s="2">
        <f>599/25</f>
        <v>23.96</v>
      </c>
      <c r="G27" s="2">
        <f t="shared" si="0"/>
        <v>95.84</v>
      </c>
      <c r="H27" s="2" t="b">
        <v>0</v>
      </c>
      <c r="I27" s="2">
        <f t="shared" si="1"/>
        <v>0</v>
      </c>
      <c r="J27" s="3" t="s">
        <v>110</v>
      </c>
      <c r="K27" s="11"/>
    </row>
    <row r="28" spans="1:11" x14ac:dyDescent="0.2">
      <c r="A28" s="1" t="s">
        <v>52</v>
      </c>
      <c r="B28" s="1" t="s">
        <v>53</v>
      </c>
      <c r="C28" s="4">
        <v>42220324</v>
      </c>
      <c r="D28" s="1">
        <v>4</v>
      </c>
      <c r="E28" s="2" t="s">
        <v>65</v>
      </c>
      <c r="F28" s="2">
        <f>299/100</f>
        <v>2.99</v>
      </c>
      <c r="G28" s="2">
        <f t="shared" si="0"/>
        <v>11.96</v>
      </c>
      <c r="H28" s="2" t="b">
        <v>1</v>
      </c>
      <c r="I28" s="2">
        <f t="shared" si="1"/>
        <v>11.96</v>
      </c>
      <c r="J28" s="3" t="s">
        <v>109</v>
      </c>
      <c r="K28" s="11"/>
    </row>
    <row r="29" spans="1:11" x14ac:dyDescent="0.2">
      <c r="A29" s="1" t="s">
        <v>54</v>
      </c>
      <c r="B29" s="1" t="s">
        <v>55</v>
      </c>
      <c r="C29" s="4" t="s">
        <v>79</v>
      </c>
      <c r="D29" s="1">
        <v>2</v>
      </c>
      <c r="E29" s="2" t="s">
        <v>65</v>
      </c>
      <c r="F29" s="2">
        <f>969/50</f>
        <v>19.38</v>
      </c>
      <c r="G29" s="2">
        <f t="shared" si="0"/>
        <v>38.76</v>
      </c>
      <c r="H29" s="2" t="b">
        <v>1</v>
      </c>
      <c r="I29" s="2">
        <f t="shared" si="1"/>
        <v>38.76</v>
      </c>
      <c r="J29" s="3" t="s">
        <v>80</v>
      </c>
      <c r="K29" s="11"/>
    </row>
    <row r="30" spans="1:11" x14ac:dyDescent="0.2">
      <c r="A30" s="1" t="s">
        <v>56</v>
      </c>
      <c r="B30" s="1" t="s">
        <v>57</v>
      </c>
      <c r="C30" s="4">
        <v>68909085</v>
      </c>
      <c r="D30" s="1">
        <v>1</v>
      </c>
      <c r="E30" s="2" t="s">
        <v>65</v>
      </c>
      <c r="F30" s="2">
        <f>948/33</f>
        <v>28.727272727272727</v>
      </c>
      <c r="G30" s="2">
        <f t="shared" si="0"/>
        <v>28.727272727272727</v>
      </c>
      <c r="H30" s="2" t="b">
        <v>1</v>
      </c>
      <c r="I30" s="2">
        <f t="shared" si="1"/>
        <v>28.727272727272727</v>
      </c>
      <c r="J30" s="3" t="s">
        <v>95</v>
      </c>
      <c r="K30" s="11"/>
    </row>
    <row r="31" spans="1:11" x14ac:dyDescent="0.2">
      <c r="A31" s="1" t="s">
        <v>58</v>
      </c>
      <c r="B31" s="1" t="s">
        <v>59</v>
      </c>
      <c r="C31" s="4" t="s">
        <v>67</v>
      </c>
      <c r="D31" s="1">
        <v>2</v>
      </c>
      <c r="E31" s="2" t="s">
        <v>88</v>
      </c>
      <c r="F31" s="2">
        <v>0</v>
      </c>
      <c r="G31" s="2">
        <f t="shared" si="0"/>
        <v>0</v>
      </c>
      <c r="H31" s="2" t="b">
        <v>1</v>
      </c>
      <c r="I31" s="2">
        <f t="shared" si="1"/>
        <v>0</v>
      </c>
    </row>
    <row r="32" spans="1:11" x14ac:dyDescent="0.2">
      <c r="A32" s="1" t="s">
        <v>60</v>
      </c>
      <c r="B32" s="1" t="s">
        <v>61</v>
      </c>
      <c r="C32" s="4" t="s">
        <v>106</v>
      </c>
      <c r="D32" s="1">
        <v>2</v>
      </c>
      <c r="E32" s="2" t="s">
        <v>65</v>
      </c>
      <c r="F32" s="2">
        <f>529/12</f>
        <v>44.083333333333336</v>
      </c>
      <c r="G32" s="2">
        <f t="shared" si="0"/>
        <v>88.166666666666671</v>
      </c>
      <c r="H32" s="2" t="b">
        <v>1</v>
      </c>
      <c r="I32" s="2">
        <f t="shared" si="1"/>
        <v>88.166666666666671</v>
      </c>
      <c r="J32" s="3" t="s">
        <v>107</v>
      </c>
      <c r="K32" s="11"/>
    </row>
    <row r="33" spans="1:11" x14ac:dyDescent="0.2">
      <c r="A33" s="1" t="s">
        <v>62</v>
      </c>
      <c r="B33" s="1" t="s">
        <v>63</v>
      </c>
      <c r="C33" s="4">
        <v>5506916</v>
      </c>
      <c r="D33" s="1">
        <v>4</v>
      </c>
      <c r="E33" s="2" t="s">
        <v>65</v>
      </c>
      <c r="F33" s="2">
        <f>999/160</f>
        <v>6.2437500000000004</v>
      </c>
      <c r="G33" s="2">
        <f t="shared" si="0"/>
        <v>24.975000000000001</v>
      </c>
      <c r="H33" s="2" t="b">
        <v>1</v>
      </c>
      <c r="I33" s="2">
        <f t="shared" si="1"/>
        <v>24.975000000000001</v>
      </c>
      <c r="J33" s="3" t="s">
        <v>108</v>
      </c>
      <c r="K33" s="11"/>
    </row>
    <row r="34" spans="1:11" x14ac:dyDescent="0.2">
      <c r="C34" s="4"/>
    </row>
    <row r="35" spans="1:11" x14ac:dyDescent="0.2">
      <c r="C35" s="4"/>
    </row>
    <row r="36" spans="1:11" x14ac:dyDescent="0.2">
      <c r="C36" s="4"/>
    </row>
    <row r="37" spans="1:11" x14ac:dyDescent="0.2">
      <c r="C37" s="4"/>
    </row>
    <row r="38" spans="1:11" x14ac:dyDescent="0.2">
      <c r="C38" s="4"/>
    </row>
    <row r="39" spans="1:11" x14ac:dyDescent="0.2">
      <c r="C39" s="4"/>
    </row>
  </sheetData>
  <phoneticPr fontId="1"/>
  <hyperlinks>
    <hyperlink ref="J8" r:id="rId1" xr:uid="{15979333-B233-4239-B86B-113B6FA78709}"/>
    <hyperlink ref="J12" r:id="rId2" xr:uid="{D9558CB8-3259-41D5-9152-C9C297826BFD}"/>
    <hyperlink ref="J29" r:id="rId3" xr:uid="{03965951-212F-48B1-84E8-AF2DA82BD1C5}"/>
    <hyperlink ref="J9" r:id="rId4" xr:uid="{65D519DC-926B-4E18-99AD-9933DD4FC72F}"/>
    <hyperlink ref="J17" r:id="rId5" xr:uid="{54D23113-78DC-4AAA-A14E-58753496BE80}"/>
    <hyperlink ref="J7" r:id="rId6" xr:uid="{1278DDA9-CEF7-43ED-90C6-9DE75B2EED01}"/>
    <hyperlink ref="J23" r:id="rId7" xr:uid="{787DE1A7-A5E0-44A5-A84D-1F275646BBD8}"/>
    <hyperlink ref="J10" r:id="rId8" xr:uid="{248E1384-A207-46FD-9928-B1955D54DD63}"/>
    <hyperlink ref="J30" r:id="rId9" xr:uid="{365D799D-05BA-4F2E-956E-46C6C5B3A680}"/>
    <hyperlink ref="J16" r:id="rId10" xr:uid="{4FD22D02-7B1A-49AC-94BD-1E421D12E31D}"/>
    <hyperlink ref="J19" r:id="rId11" xr:uid="{763572B5-F05B-4374-BD0A-AC58A716F5C4}"/>
    <hyperlink ref="J20" r:id="rId12" xr:uid="{FE625DF9-8A34-4CC4-9943-B8E144AE6E27}"/>
    <hyperlink ref="J21" r:id="rId13" xr:uid="{F1038DE9-2334-4F9C-AE0F-B9D37D660C46}"/>
    <hyperlink ref="J25" r:id="rId14" xr:uid="{23A5C689-10A5-4BB9-9CAA-EE9B4E16C0D1}"/>
    <hyperlink ref="J32" r:id="rId15" xr:uid="{7A5A4E7F-3B9D-464E-8787-AC1C48916FAF}"/>
    <hyperlink ref="J33" r:id="rId16" xr:uid="{026E29A1-D311-4743-BEF8-3DED98F0B978}"/>
    <hyperlink ref="J28" r:id="rId17" xr:uid="{5665E226-F9F2-4092-B7A1-1ACF7D0AAD48}"/>
    <hyperlink ref="J27" r:id="rId18" xr:uid="{E7F5408B-BA9A-4FB3-BBF0-64F71ED013E4}"/>
    <hyperlink ref="J24" r:id="rId19" xr:uid="{27DE5064-A552-4565-A8CB-41EA21EE10C3}"/>
    <hyperlink ref="J14" r:id="rId20" xr:uid="{FB7647AB-4C6D-43D7-ADB3-969FE96CFE25}"/>
  </hyperlinks>
  <pageMargins left="0.7" right="0.7" top="0.75" bottom="0.75" header="0.3" footer="0.3"/>
  <pageSetup paperSize="9"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D92E-A4B9-4A46-AB64-00687F919B7F}">
  <dimension ref="A2:K18"/>
  <sheetViews>
    <sheetView workbookViewId="0">
      <selection activeCell="K7" sqref="K7"/>
    </sheetView>
  </sheetViews>
  <sheetFormatPr defaultRowHeight="14" x14ac:dyDescent="0.2"/>
  <cols>
    <col min="1" max="1" width="8.7265625" style="2"/>
    <col min="2" max="2" width="26.6328125" style="2" bestFit="1" customWidth="1"/>
    <col min="3" max="3" width="24.54296875" style="2" bestFit="1" customWidth="1"/>
    <col min="4" max="4" width="5.6328125" style="2" bestFit="1" customWidth="1"/>
    <col min="5" max="5" width="15.1796875" style="2" customWidth="1"/>
    <col min="6" max="6" width="11.36328125" style="2" bestFit="1" customWidth="1"/>
    <col min="7" max="7" width="11.36328125" style="2" customWidth="1"/>
    <col min="8" max="8" width="9.81640625" style="2" bestFit="1" customWidth="1"/>
    <col min="9" max="9" width="8.90625" style="2" bestFit="1" customWidth="1"/>
    <col min="10" max="10" width="44.90625" style="2" customWidth="1"/>
    <col min="11" max="16384" width="8.7265625" style="2"/>
  </cols>
  <sheetData>
    <row r="2" spans="1:11" x14ac:dyDescent="0.2">
      <c r="G2" s="2">
        <f>SUM(G5:G18)</f>
        <v>4649.8200000000006</v>
      </c>
      <c r="I2" s="2">
        <f>SUM(I5:I18)</f>
        <v>1059.92</v>
      </c>
    </row>
    <row r="4" spans="1:11" x14ac:dyDescent="0.2">
      <c r="A4" s="1" t="s">
        <v>9</v>
      </c>
      <c r="B4" s="1" t="s">
        <v>10</v>
      </c>
      <c r="C4" s="1" t="s">
        <v>72</v>
      </c>
      <c r="D4" s="1" t="s">
        <v>11</v>
      </c>
      <c r="E4" s="1" t="s">
        <v>64</v>
      </c>
      <c r="F4" s="2" t="s">
        <v>69</v>
      </c>
      <c r="G4" s="2" t="s">
        <v>118</v>
      </c>
      <c r="H4" s="2" t="s">
        <v>151</v>
      </c>
      <c r="J4" s="2" t="s">
        <v>74</v>
      </c>
    </row>
    <row r="5" spans="1:11" x14ac:dyDescent="0.2">
      <c r="A5" s="5" t="s">
        <v>114</v>
      </c>
      <c r="B5" s="1" t="s">
        <v>14</v>
      </c>
      <c r="C5" s="4"/>
      <c r="D5" s="1">
        <v>2</v>
      </c>
      <c r="E5" s="4" t="s">
        <v>89</v>
      </c>
      <c r="F5" s="2">
        <v>0</v>
      </c>
      <c r="G5" s="2">
        <f>F5*D5</f>
        <v>0</v>
      </c>
      <c r="H5" s="2" t="b">
        <v>1</v>
      </c>
      <c r="I5" s="2">
        <f>IF(H5,G5,0)</f>
        <v>0</v>
      </c>
    </row>
    <row r="6" spans="1:11" x14ac:dyDescent="0.2">
      <c r="A6" s="5" t="s">
        <v>115</v>
      </c>
      <c r="B6" s="1" t="s">
        <v>66</v>
      </c>
      <c r="C6" s="4" t="s">
        <v>67</v>
      </c>
      <c r="D6" s="1">
        <v>2</v>
      </c>
      <c r="E6" s="2" t="s">
        <v>68</v>
      </c>
      <c r="F6" s="2">
        <v>500</v>
      </c>
      <c r="G6" s="2">
        <f t="shared" ref="G6:G18" si="0">F6*D6</f>
        <v>1000</v>
      </c>
      <c r="H6" s="2" t="b">
        <v>1</v>
      </c>
      <c r="I6" s="2">
        <f t="shared" ref="I6:I18" si="1">IF(H6,G6,0)</f>
        <v>1000</v>
      </c>
    </row>
    <row r="7" spans="1:11" x14ac:dyDescent="0.2">
      <c r="A7" s="5" t="s">
        <v>116</v>
      </c>
      <c r="B7" s="1" t="s">
        <v>73</v>
      </c>
      <c r="C7" s="4" t="s">
        <v>70</v>
      </c>
      <c r="D7" s="1">
        <v>2</v>
      </c>
      <c r="E7" s="2" t="s">
        <v>65</v>
      </c>
      <c r="F7" s="2">
        <v>29.96</v>
      </c>
      <c r="G7" s="2">
        <f t="shared" si="0"/>
        <v>59.92</v>
      </c>
      <c r="H7" s="2" t="b">
        <v>1</v>
      </c>
      <c r="I7" s="2">
        <f t="shared" si="1"/>
        <v>59.92</v>
      </c>
      <c r="J7" s="3" t="s">
        <v>128</v>
      </c>
      <c r="K7" s="11"/>
    </row>
    <row r="8" spans="1:11" x14ac:dyDescent="0.2">
      <c r="A8" s="5" t="s">
        <v>117</v>
      </c>
      <c r="B8" s="1" t="s">
        <v>82</v>
      </c>
      <c r="C8" s="4" t="s">
        <v>67</v>
      </c>
      <c r="D8" s="1">
        <v>1</v>
      </c>
      <c r="E8" s="4" t="s">
        <v>89</v>
      </c>
      <c r="F8" s="2">
        <v>0</v>
      </c>
      <c r="G8" s="2">
        <f t="shared" si="0"/>
        <v>0</v>
      </c>
      <c r="H8" s="2" t="b">
        <v>0</v>
      </c>
      <c r="I8" s="2">
        <f t="shared" si="1"/>
        <v>0</v>
      </c>
    </row>
    <row r="9" spans="1:11" x14ac:dyDescent="0.2">
      <c r="A9" s="6" t="s">
        <v>119</v>
      </c>
      <c r="B9" s="2" t="s">
        <v>129</v>
      </c>
      <c r="C9" s="2" t="s">
        <v>130</v>
      </c>
      <c r="D9" s="2">
        <v>1</v>
      </c>
      <c r="E9" s="2" t="s">
        <v>81</v>
      </c>
      <c r="F9" s="2">
        <f>776/10</f>
        <v>77.599999999999994</v>
      </c>
      <c r="G9" s="2">
        <f t="shared" si="0"/>
        <v>77.599999999999994</v>
      </c>
      <c r="H9" s="2" t="b">
        <v>0</v>
      </c>
      <c r="I9" s="2">
        <f t="shared" si="1"/>
        <v>0</v>
      </c>
    </row>
    <row r="10" spans="1:11" x14ac:dyDescent="0.2">
      <c r="A10" s="6" t="s">
        <v>120</v>
      </c>
      <c r="B10" s="2" t="s">
        <v>131</v>
      </c>
      <c r="C10" s="2" t="s">
        <v>157</v>
      </c>
      <c r="D10" s="2">
        <v>1</v>
      </c>
      <c r="E10" s="2" t="s">
        <v>132</v>
      </c>
      <c r="F10" s="2">
        <v>1650</v>
      </c>
      <c r="G10" s="2">
        <f t="shared" si="0"/>
        <v>1650</v>
      </c>
      <c r="H10" s="2" t="b">
        <v>0</v>
      </c>
      <c r="I10" s="2">
        <f t="shared" si="1"/>
        <v>0</v>
      </c>
      <c r="J10" s="3" t="s">
        <v>133</v>
      </c>
    </row>
    <row r="11" spans="1:11" x14ac:dyDescent="0.2">
      <c r="A11" s="6" t="s">
        <v>121</v>
      </c>
      <c r="B11" s="2" t="s">
        <v>134</v>
      </c>
      <c r="C11" s="2" t="s">
        <v>135</v>
      </c>
      <c r="D11" s="2">
        <v>1</v>
      </c>
      <c r="E11" s="2" t="s">
        <v>132</v>
      </c>
      <c r="F11" s="2">
        <v>550</v>
      </c>
      <c r="G11" s="2">
        <f t="shared" si="0"/>
        <v>550</v>
      </c>
      <c r="H11" s="2" t="b">
        <v>0</v>
      </c>
      <c r="I11" s="2">
        <f t="shared" si="1"/>
        <v>0</v>
      </c>
      <c r="J11" s="3" t="s">
        <v>136</v>
      </c>
    </row>
    <row r="12" spans="1:11" x14ac:dyDescent="0.2">
      <c r="A12" s="6" t="s">
        <v>122</v>
      </c>
      <c r="B12" s="2" t="s">
        <v>137</v>
      </c>
      <c r="C12" s="2" t="s">
        <v>139</v>
      </c>
      <c r="D12" s="2">
        <v>1</v>
      </c>
      <c r="E12" s="2" t="s">
        <v>132</v>
      </c>
      <c r="F12" s="2">
        <v>75</v>
      </c>
      <c r="G12" s="2">
        <f t="shared" si="0"/>
        <v>75</v>
      </c>
      <c r="H12" s="2" t="b">
        <v>0</v>
      </c>
      <c r="I12" s="2">
        <f t="shared" si="1"/>
        <v>0</v>
      </c>
      <c r="J12" s="3" t="s">
        <v>138</v>
      </c>
    </row>
    <row r="13" spans="1:11" x14ac:dyDescent="0.2">
      <c r="A13" s="6" t="s">
        <v>123</v>
      </c>
      <c r="B13" s="2" t="s">
        <v>141</v>
      </c>
      <c r="C13" s="2" t="s">
        <v>140</v>
      </c>
      <c r="D13" s="2">
        <v>1</v>
      </c>
      <c r="E13" s="2" t="s">
        <v>68</v>
      </c>
      <c r="F13" s="2">
        <v>659</v>
      </c>
      <c r="G13" s="2">
        <f t="shared" si="0"/>
        <v>659</v>
      </c>
      <c r="H13" s="2" t="b">
        <v>0</v>
      </c>
      <c r="I13" s="2">
        <f t="shared" si="1"/>
        <v>0</v>
      </c>
    </row>
    <row r="14" spans="1:11" x14ac:dyDescent="0.2">
      <c r="A14" s="6" t="s">
        <v>124</v>
      </c>
      <c r="B14" s="2" t="s">
        <v>142</v>
      </c>
      <c r="D14" s="2">
        <v>1</v>
      </c>
      <c r="E14" s="2" t="s">
        <v>68</v>
      </c>
      <c r="F14" s="2">
        <f>1080/10</f>
        <v>108</v>
      </c>
      <c r="G14" s="2">
        <f t="shared" si="0"/>
        <v>108</v>
      </c>
      <c r="H14" s="2" t="b">
        <v>0</v>
      </c>
      <c r="I14" s="2">
        <f t="shared" si="1"/>
        <v>0</v>
      </c>
    </row>
    <row r="15" spans="1:11" x14ac:dyDescent="0.2">
      <c r="A15" s="6" t="s">
        <v>125</v>
      </c>
      <c r="B15" s="2" t="s">
        <v>143</v>
      </c>
      <c r="D15" s="2">
        <v>1</v>
      </c>
      <c r="E15" s="2" t="s">
        <v>68</v>
      </c>
      <c r="F15" s="2">
        <f>371/10</f>
        <v>37.1</v>
      </c>
      <c r="G15" s="2">
        <f t="shared" si="0"/>
        <v>37.1</v>
      </c>
      <c r="H15" s="2" t="b">
        <v>0</v>
      </c>
      <c r="I15" s="2">
        <f t="shared" si="1"/>
        <v>0</v>
      </c>
    </row>
    <row r="16" spans="1:11" x14ac:dyDescent="0.2">
      <c r="A16" s="6" t="s">
        <v>126</v>
      </c>
      <c r="B16" s="2" t="s">
        <v>145</v>
      </c>
      <c r="D16" s="2">
        <v>1</v>
      </c>
      <c r="E16" s="2" t="s">
        <v>68</v>
      </c>
      <c r="F16" s="2">
        <v>326</v>
      </c>
      <c r="G16" s="2">
        <f t="shared" si="0"/>
        <v>326</v>
      </c>
      <c r="H16" s="2" t="b">
        <v>0</v>
      </c>
      <c r="I16" s="2">
        <f t="shared" si="1"/>
        <v>0</v>
      </c>
    </row>
    <row r="17" spans="1:9" x14ac:dyDescent="0.2">
      <c r="A17" s="6" t="s">
        <v>127</v>
      </c>
      <c r="B17" s="2" t="s">
        <v>153</v>
      </c>
      <c r="C17" s="2" t="s">
        <v>154</v>
      </c>
      <c r="D17" s="2">
        <v>1</v>
      </c>
      <c r="E17" s="2" t="s">
        <v>68</v>
      </c>
      <c r="F17" s="2">
        <f>1072/10</f>
        <v>107.2</v>
      </c>
      <c r="G17" s="2">
        <f t="shared" si="0"/>
        <v>107.2</v>
      </c>
      <c r="H17" s="2" t="b">
        <v>0</v>
      </c>
      <c r="I17" s="2">
        <f t="shared" si="1"/>
        <v>0</v>
      </c>
    </row>
    <row r="18" spans="1:9" x14ac:dyDescent="0.2">
      <c r="A18" s="6" t="s">
        <v>152</v>
      </c>
      <c r="B18" s="2" t="s">
        <v>144</v>
      </c>
      <c r="F18" s="2">
        <v>100</v>
      </c>
      <c r="G18" s="2">
        <f t="shared" si="0"/>
        <v>0</v>
      </c>
      <c r="H18" s="2" t="b">
        <v>0</v>
      </c>
      <c r="I18" s="2">
        <f t="shared" si="1"/>
        <v>0</v>
      </c>
    </row>
  </sheetData>
  <phoneticPr fontId="1"/>
  <hyperlinks>
    <hyperlink ref="J7" r:id="rId1" xr:uid="{7B8FE433-8354-48FC-AA4E-A56DDBFFAE15}"/>
    <hyperlink ref="J10" r:id="rId2" xr:uid="{751F97C8-579F-4242-8A19-4D432CE0573B}"/>
    <hyperlink ref="J11" r:id="rId3" xr:uid="{82ADE128-DA54-41C0-A9E8-D14C4FADBBF3}"/>
    <hyperlink ref="J12" r:id="rId4" xr:uid="{0A49B981-9AB5-44B5-901D-FE4B80AAC2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</vt:lpstr>
      <vt:lpstr>構造</vt:lpstr>
      <vt:lpstr>電子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2025-11-19T03:21:17Z</cp:lastPrinted>
  <dcterms:created xsi:type="dcterms:W3CDTF">2025-11-19T03:21:17Z</dcterms:created>
  <dcterms:modified xsi:type="dcterms:W3CDTF">2025-12-21T12:49:56Z</dcterms:modified>
  <cp:category/>
</cp:coreProperties>
</file>