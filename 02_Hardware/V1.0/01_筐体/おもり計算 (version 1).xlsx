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irar\Documents\Git\GBA\02_Hardware\V1.0\01_筐体\"/>
    </mc:Choice>
  </mc:AlternateContent>
  <xr:revisionPtr revIDLastSave="0" documentId="13_ncr:1_{A3148615-5AD3-4985-A5BD-79CF7C6EA5C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計算シート" sheetId="3" r:id="rId1"/>
    <sheet name="グラフ1" sheetId="4" r:id="rId2"/>
    <sheet name="Sheet2" sheetId="2" r:id="rId3"/>
    <sheet name="Sheet1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3" l="1"/>
  <c r="D12" i="3"/>
  <c r="D24" i="3" s="1"/>
  <c r="D17" i="3"/>
  <c r="D11" i="3"/>
  <c r="D6" i="3"/>
  <c r="D5" i="3"/>
  <c r="K5" i="1"/>
  <c r="K6" i="1" s="1"/>
  <c r="C21" i="1"/>
  <c r="F2" i="1"/>
  <c r="F4" i="1" s="1"/>
  <c r="F6" i="1"/>
  <c r="F11" i="1"/>
  <c r="F7" i="1"/>
  <c r="E6" i="1"/>
  <c r="E2" i="1"/>
  <c r="E4" i="1" s="1"/>
  <c r="D6" i="1"/>
  <c r="E11" i="1"/>
  <c r="E7" i="1"/>
  <c r="D2" i="1"/>
  <c r="D4" i="1" s="1"/>
  <c r="G11" i="1"/>
  <c r="G7" i="1"/>
  <c r="G4" i="1"/>
  <c r="D7" i="1"/>
  <c r="D11" i="1"/>
  <c r="D5" i="1"/>
  <c r="E5" i="1" s="1"/>
  <c r="F5" i="1" s="1"/>
  <c r="C7" i="1"/>
  <c r="C4" i="1"/>
  <c r="C11" i="1"/>
  <c r="D19" i="3" l="1"/>
  <c r="D23" i="3"/>
  <c r="D13" i="3"/>
  <c r="F8" i="1"/>
  <c r="G8" i="1"/>
  <c r="G9" i="1" s="1"/>
  <c r="G12" i="1" s="1"/>
  <c r="E8" i="1"/>
  <c r="D8" i="1"/>
  <c r="D9" i="1" s="1"/>
  <c r="C8" i="1"/>
  <c r="D25" i="3" l="1"/>
  <c r="D26" i="3" s="1"/>
  <c r="D31" i="3" s="1"/>
  <c r="D32" i="3" s="1"/>
  <c r="C2" i="2" s="1"/>
  <c r="G13" i="1"/>
  <c r="G14" i="1"/>
  <c r="F9" i="1"/>
  <c r="F12" i="1" s="1"/>
  <c r="G20" i="1"/>
  <c r="E9" i="1"/>
  <c r="E12" i="1" s="1"/>
  <c r="D12" i="1"/>
  <c r="C9" i="1"/>
  <c r="C12" i="1" s="1"/>
  <c r="C96" i="2" l="1"/>
  <c r="D96" i="2" s="1"/>
  <c r="C95" i="2"/>
  <c r="D95" i="2" s="1"/>
  <c r="C118" i="2"/>
  <c r="D118" i="2" s="1"/>
  <c r="C12" i="2"/>
  <c r="D12" i="2" s="1"/>
  <c r="C31" i="2"/>
  <c r="D31" i="2" s="1"/>
  <c r="C54" i="2"/>
  <c r="D54" i="2" s="1"/>
  <c r="C76" i="2"/>
  <c r="D76" i="2" s="1"/>
  <c r="C119" i="2"/>
  <c r="D119" i="2" s="1"/>
  <c r="C14" i="2"/>
  <c r="D14" i="2" s="1"/>
  <c r="C36" i="2"/>
  <c r="D36" i="2" s="1"/>
  <c r="C78" i="2"/>
  <c r="D78" i="2" s="1"/>
  <c r="C100" i="2"/>
  <c r="D100" i="2" s="1"/>
  <c r="C55" i="2"/>
  <c r="D55" i="2" s="1"/>
  <c r="C102" i="2"/>
  <c r="D102" i="2" s="1"/>
  <c r="C124" i="2"/>
  <c r="D124" i="2" s="1"/>
  <c r="C15" i="2"/>
  <c r="D15" i="2" s="1"/>
  <c r="C38" i="2"/>
  <c r="D38" i="2" s="1"/>
  <c r="C60" i="2"/>
  <c r="D60" i="2" s="1"/>
  <c r="C79" i="2"/>
  <c r="D79" i="2" s="1"/>
  <c r="C103" i="2"/>
  <c r="D103" i="2" s="1"/>
  <c r="C126" i="2"/>
  <c r="D126" i="2" s="1"/>
  <c r="C20" i="2"/>
  <c r="D20" i="2" s="1"/>
  <c r="C39" i="2"/>
  <c r="D39" i="2" s="1"/>
  <c r="C62" i="2"/>
  <c r="D62" i="2" s="1"/>
  <c r="C84" i="2"/>
  <c r="D84" i="2" s="1"/>
  <c r="C52" i="2"/>
  <c r="D52" i="2" s="1"/>
  <c r="C3" i="2"/>
  <c r="D3" i="2" s="1"/>
  <c r="C108" i="2"/>
  <c r="D108" i="2" s="1"/>
  <c r="C127" i="2"/>
  <c r="D127" i="2" s="1"/>
  <c r="C22" i="2"/>
  <c r="D22" i="2" s="1"/>
  <c r="C44" i="2"/>
  <c r="D44" i="2" s="1"/>
  <c r="C63" i="2"/>
  <c r="D63" i="2" s="1"/>
  <c r="C86" i="2"/>
  <c r="D86" i="2" s="1"/>
  <c r="C6" i="2"/>
  <c r="D6" i="2" s="1"/>
  <c r="C28" i="2"/>
  <c r="D28" i="2" s="1"/>
  <c r="C70" i="2"/>
  <c r="D70" i="2" s="1"/>
  <c r="C110" i="2"/>
  <c r="D110" i="2" s="1"/>
  <c r="C4" i="2"/>
  <c r="D4" i="2" s="1"/>
  <c r="C23" i="2"/>
  <c r="D23" i="2" s="1"/>
  <c r="C46" i="2"/>
  <c r="D46" i="2" s="1"/>
  <c r="C68" i="2"/>
  <c r="D68" i="2" s="1"/>
  <c r="C87" i="2"/>
  <c r="D87" i="2" s="1"/>
  <c r="C111" i="2"/>
  <c r="D111" i="2" s="1"/>
  <c r="C47" i="2"/>
  <c r="D47" i="2" s="1"/>
  <c r="C92" i="2"/>
  <c r="D92" i="2" s="1"/>
  <c r="C94" i="2"/>
  <c r="D94" i="2" s="1"/>
  <c r="C116" i="2"/>
  <c r="D116" i="2" s="1"/>
  <c r="C7" i="2"/>
  <c r="D7" i="2" s="1"/>
  <c r="C30" i="2"/>
  <c r="D30" i="2" s="1"/>
  <c r="C71" i="2"/>
  <c r="D71" i="2" s="1"/>
  <c r="C93" i="2"/>
  <c r="D93" i="2" s="1"/>
  <c r="C29" i="2"/>
  <c r="D29" i="2" s="1"/>
  <c r="C91" i="2"/>
  <c r="D91" i="2" s="1"/>
  <c r="C58" i="2"/>
  <c r="D58" i="2" s="1"/>
  <c r="C122" i="2"/>
  <c r="D122" i="2" s="1"/>
  <c r="C131" i="2"/>
  <c r="D131" i="2" s="1"/>
  <c r="C41" i="2"/>
  <c r="D41" i="2" s="1"/>
  <c r="C105" i="2"/>
  <c r="D105" i="2" s="1"/>
  <c r="C88" i="2"/>
  <c r="D88" i="2" s="1"/>
  <c r="C24" i="2"/>
  <c r="D24" i="2" s="1"/>
  <c r="C115" i="2"/>
  <c r="D115" i="2" s="1"/>
  <c r="C19" i="2"/>
  <c r="D19" i="2" s="1"/>
  <c r="C85" i="2"/>
  <c r="D85" i="2" s="1"/>
  <c r="C21" i="2"/>
  <c r="D21" i="2" s="1"/>
  <c r="C51" i="2"/>
  <c r="D51" i="2" s="1"/>
  <c r="C50" i="2"/>
  <c r="D50" i="2" s="1"/>
  <c r="C114" i="2"/>
  <c r="D114" i="2" s="1"/>
  <c r="C107" i="2"/>
  <c r="D107" i="2" s="1"/>
  <c r="C33" i="2"/>
  <c r="D33" i="2" s="1"/>
  <c r="C97" i="2"/>
  <c r="D97" i="2" s="1"/>
  <c r="C80" i="2"/>
  <c r="D80" i="2" s="1"/>
  <c r="C16" i="2"/>
  <c r="D16" i="2" s="1"/>
  <c r="C27" i="2"/>
  <c r="D27" i="2" s="1"/>
  <c r="C106" i="2"/>
  <c r="D106" i="2" s="1"/>
  <c r="C89" i="2"/>
  <c r="D89" i="2" s="1"/>
  <c r="C83" i="2"/>
  <c r="D83" i="2" s="1"/>
  <c r="C72" i="2"/>
  <c r="D72" i="2" s="1"/>
  <c r="C8" i="2"/>
  <c r="D8" i="2" s="1"/>
  <c r="C69" i="2"/>
  <c r="D69" i="2" s="1"/>
  <c r="C123" i="2"/>
  <c r="D123" i="2" s="1"/>
  <c r="C34" i="2"/>
  <c r="D34" i="2" s="1"/>
  <c r="C81" i="2"/>
  <c r="D81" i="2" s="1"/>
  <c r="C67" i="2"/>
  <c r="D67" i="2" s="1"/>
  <c r="C128" i="2"/>
  <c r="D128" i="2" s="1"/>
  <c r="C90" i="2"/>
  <c r="D90" i="2" s="1"/>
  <c r="C9" i="2"/>
  <c r="D9" i="2" s="1"/>
  <c r="C120" i="2"/>
  <c r="D120" i="2" s="1"/>
  <c r="C117" i="2"/>
  <c r="D117" i="2" s="1"/>
  <c r="C65" i="2"/>
  <c r="D65" i="2" s="1"/>
  <c r="C48" i="2"/>
  <c r="D48" i="2" s="1"/>
  <c r="C109" i="2"/>
  <c r="D109" i="2" s="1"/>
  <c r="C121" i="2"/>
  <c r="D121" i="2" s="1"/>
  <c r="C37" i="2"/>
  <c r="D37" i="2" s="1"/>
  <c r="C113" i="2"/>
  <c r="D113" i="2" s="1"/>
  <c r="C77" i="2"/>
  <c r="D77" i="2" s="1"/>
  <c r="C13" i="2"/>
  <c r="D13" i="2" s="1"/>
  <c r="C42" i="2"/>
  <c r="D42" i="2" s="1"/>
  <c r="C25" i="2"/>
  <c r="D25" i="2" s="1"/>
  <c r="C98" i="2"/>
  <c r="D98" i="2" s="1"/>
  <c r="C64" i="2"/>
  <c r="D64" i="2" s="1"/>
  <c r="C125" i="2"/>
  <c r="D125" i="2" s="1"/>
  <c r="C75" i="2"/>
  <c r="D75" i="2" s="1"/>
  <c r="C35" i="2"/>
  <c r="D35" i="2" s="1"/>
  <c r="C53" i="2"/>
  <c r="D53" i="2" s="1"/>
  <c r="C129" i="2"/>
  <c r="D129" i="2" s="1"/>
  <c r="C45" i="2"/>
  <c r="D45" i="2" s="1"/>
  <c r="C43" i="2"/>
  <c r="D43" i="2" s="1"/>
  <c r="C101" i="2"/>
  <c r="D101" i="2" s="1"/>
  <c r="C32" i="2"/>
  <c r="D32" i="2" s="1"/>
  <c r="C5" i="2"/>
  <c r="D5" i="2" s="1"/>
  <c r="C17" i="2"/>
  <c r="D17" i="2" s="1"/>
  <c r="C26" i="2"/>
  <c r="D26" i="2" s="1"/>
  <c r="C73" i="2"/>
  <c r="D73" i="2" s="1"/>
  <c r="C56" i="2"/>
  <c r="D56" i="2" s="1"/>
  <c r="C82" i="2"/>
  <c r="D82" i="2" s="1"/>
  <c r="C59" i="2"/>
  <c r="D59" i="2" s="1"/>
  <c r="C112" i="2"/>
  <c r="D112" i="2" s="1"/>
  <c r="C10" i="2"/>
  <c r="D10" i="2" s="1"/>
  <c r="C40" i="2"/>
  <c r="D40" i="2" s="1"/>
  <c r="C130" i="2"/>
  <c r="D130" i="2" s="1"/>
  <c r="C99" i="2"/>
  <c r="D99" i="2" s="1"/>
  <c r="C61" i="2"/>
  <c r="D61" i="2" s="1"/>
  <c r="C18" i="2"/>
  <c r="D18" i="2" s="1"/>
  <c r="C11" i="2"/>
  <c r="D11" i="2" s="1"/>
  <c r="C74" i="2"/>
  <c r="D74" i="2" s="1"/>
  <c r="C57" i="2"/>
  <c r="D57" i="2" s="1"/>
  <c r="C104" i="2"/>
  <c r="D104" i="2" s="1"/>
  <c r="C66" i="2"/>
  <c r="D66" i="2" s="1"/>
  <c r="C49" i="2"/>
  <c r="D49" i="2" s="1"/>
  <c r="D39" i="3"/>
  <c r="D35" i="3"/>
  <c r="D36" i="3"/>
  <c r="F13" i="1"/>
  <c r="F14" i="1"/>
  <c r="F20" i="1"/>
  <c r="C20" i="1"/>
  <c r="C14" i="1"/>
  <c r="E20" i="1"/>
  <c r="E14" i="1"/>
  <c r="D20" i="1"/>
  <c r="D14" i="1"/>
  <c r="E13" i="1"/>
  <c r="C13" i="1"/>
  <c r="D13" i="1"/>
</calcChain>
</file>

<file path=xl/sharedStrings.xml><?xml version="1.0" encoding="utf-8"?>
<sst xmlns="http://schemas.openxmlformats.org/spreadsheetml/2006/main" count="112" uniqueCount="76">
  <si>
    <t>V0.0</t>
    <phoneticPr fontId="1"/>
  </si>
  <si>
    <t>球の質量[kg]</t>
    <rPh sb="0" eb="1">
      <t>キュウ</t>
    </rPh>
    <rPh sb="2" eb="4">
      <t>シツリョウ</t>
    </rPh>
    <phoneticPr fontId="1"/>
  </si>
  <si>
    <t>錘の質量[kg]</t>
    <rPh sb="0" eb="1">
      <t>オモリ</t>
    </rPh>
    <rPh sb="2" eb="4">
      <t>シツリョウ</t>
    </rPh>
    <phoneticPr fontId="1"/>
  </si>
  <si>
    <t>支柱から球までの距離[m]</t>
    <rPh sb="0" eb="2">
      <t>シチュウ</t>
    </rPh>
    <rPh sb="4" eb="5">
      <t>キュウ</t>
    </rPh>
    <rPh sb="8" eb="10">
      <t>キョリ</t>
    </rPh>
    <phoneticPr fontId="1"/>
  </si>
  <si>
    <t>支柱から錘までの距離[m]</t>
    <rPh sb="0" eb="2">
      <t>シチュウ</t>
    </rPh>
    <rPh sb="4" eb="5">
      <t>オモリ</t>
    </rPh>
    <rPh sb="8" eb="10">
      <t>キョリ</t>
    </rPh>
    <phoneticPr fontId="1"/>
  </si>
  <si>
    <t>球の半径[m]</t>
    <rPh sb="0" eb="1">
      <t>キュウ</t>
    </rPh>
    <rPh sb="2" eb="4">
      <t>ハン</t>
    </rPh>
    <phoneticPr fontId="1"/>
  </si>
  <si>
    <t>球の面積[m^2]</t>
    <rPh sb="0" eb="1">
      <t>キュウ</t>
    </rPh>
    <rPh sb="2" eb="4">
      <t>メ</t>
    </rPh>
    <phoneticPr fontId="1"/>
  </si>
  <si>
    <t>重心位置[m]</t>
    <rPh sb="0" eb="4">
      <t>ジュウシンイチ</t>
    </rPh>
    <phoneticPr fontId="1"/>
  </si>
  <si>
    <t>等価質量[kg]</t>
    <rPh sb="0" eb="2">
      <t>トウカ</t>
    </rPh>
    <rPh sb="2" eb="4">
      <t>シツリョウ</t>
    </rPh>
    <phoneticPr fontId="1"/>
  </si>
  <si>
    <t>ロッド重心位置[m]</t>
    <rPh sb="3" eb="5">
      <t>ジュウシン</t>
    </rPh>
    <rPh sb="5" eb="7">
      <t>イチ</t>
    </rPh>
    <phoneticPr fontId="1"/>
  </si>
  <si>
    <t>ロッドの質量[kg]</t>
    <rPh sb="4" eb="6">
      <t>シツリョウ</t>
    </rPh>
    <phoneticPr fontId="1"/>
  </si>
  <si>
    <t>角度からの換算係数</t>
    <rPh sb="0" eb="2">
      <t>カクド</t>
    </rPh>
    <rPh sb="5" eb="7">
      <t>カンサン</t>
    </rPh>
    <rPh sb="7" eb="9">
      <t>ケイスウ</t>
    </rPh>
    <phoneticPr fontId="1"/>
  </si>
  <si>
    <t>l_b</t>
    <phoneticPr fontId="1"/>
  </si>
  <si>
    <t>l_w</t>
    <phoneticPr fontId="1"/>
  </si>
  <si>
    <t>l_l</t>
    <phoneticPr fontId="1"/>
  </si>
  <si>
    <t>m_b</t>
    <phoneticPr fontId="1"/>
  </si>
  <si>
    <t>m_w</t>
    <phoneticPr fontId="1"/>
  </si>
  <si>
    <t>m_l</t>
    <phoneticPr fontId="1"/>
  </si>
  <si>
    <t>m</t>
    <phoneticPr fontId="1"/>
  </si>
  <si>
    <t>lg</t>
    <phoneticPr fontId="1"/>
  </si>
  <si>
    <t>r</t>
    <phoneticPr fontId="1"/>
  </si>
  <si>
    <t>S</t>
    <phoneticPr fontId="1"/>
  </si>
  <si>
    <t>f</t>
    <phoneticPr fontId="1"/>
  </si>
  <si>
    <t>f/S</t>
    <phoneticPr fontId="1"/>
  </si>
  <si>
    <t>test</t>
    <phoneticPr fontId="1"/>
  </si>
  <si>
    <t>流速[m/s]</t>
    <rPh sb="0" eb="2">
      <t>リュウソク</t>
    </rPh>
    <phoneticPr fontId="1"/>
  </si>
  <si>
    <t>U</t>
    <phoneticPr fontId="1"/>
  </si>
  <si>
    <t>Cd</t>
    <phoneticPr fontId="1"/>
  </si>
  <si>
    <t>抗力係数</t>
    <rPh sb="0" eb="4">
      <t>コウリョクケイスウ</t>
    </rPh>
    <phoneticPr fontId="1"/>
  </si>
  <si>
    <t>大気密度[kg/m^3]</t>
    <rPh sb="0" eb="2">
      <t>タイキ</t>
    </rPh>
    <rPh sb="2" eb="4">
      <t>ミツド</t>
    </rPh>
    <phoneticPr fontId="1"/>
  </si>
  <si>
    <t>ρ</t>
    <phoneticPr fontId="1"/>
  </si>
  <si>
    <t>θ</t>
    <phoneticPr fontId="1"/>
  </si>
  <si>
    <t>角度[deg]</t>
    <rPh sb="0" eb="2">
      <t>カクド</t>
    </rPh>
    <phoneticPr fontId="1"/>
  </si>
  <si>
    <t>g</t>
    <phoneticPr fontId="1"/>
  </si>
  <si>
    <t>重力加速度[m/s^2]</t>
    <rPh sb="0" eb="2">
      <t>ジュウリョク</t>
    </rPh>
    <rPh sb="2" eb="5">
      <t>カソクド</t>
    </rPh>
    <phoneticPr fontId="1"/>
  </si>
  <si>
    <t>V1.0-Light</t>
    <phoneticPr fontId="1"/>
  </si>
  <si>
    <t>V1.0-Def</t>
    <phoneticPr fontId="1"/>
  </si>
  <si>
    <t>k</t>
    <phoneticPr fontId="1"/>
  </si>
  <si>
    <t>V1.0-Light-丸ボス</t>
    <rPh sb="11" eb="12">
      <t>マル</t>
    </rPh>
    <phoneticPr fontId="1"/>
  </si>
  <si>
    <t>coff_angle</t>
    <phoneticPr fontId="1"/>
  </si>
  <si>
    <t>密度</t>
    <rPh sb="0" eb="2">
      <t>ミツド</t>
    </rPh>
    <phoneticPr fontId="1"/>
  </si>
  <si>
    <t>kg/m^3</t>
    <phoneticPr fontId="1"/>
  </si>
  <si>
    <t>支柱から球中心までの距離</t>
    <rPh sb="5" eb="7">
      <t>チュウシン</t>
    </rPh>
    <phoneticPr fontId="1"/>
  </si>
  <si>
    <t>球</t>
    <rPh sb="0" eb="1">
      <t>キュウ</t>
    </rPh>
    <phoneticPr fontId="1"/>
  </si>
  <si>
    <t>質量</t>
    <rPh sb="0" eb="2">
      <t>シツリョウ</t>
    </rPh>
    <phoneticPr fontId="1"/>
  </si>
  <si>
    <t>kg</t>
    <phoneticPr fontId="1"/>
  </si>
  <si>
    <t>長さ</t>
    <rPh sb="0" eb="1">
      <t>ナガ</t>
    </rPh>
    <phoneticPr fontId="1"/>
  </si>
  <si>
    <t>支柱から錘中心までの距離</t>
    <rPh sb="5" eb="7">
      <t>チュウシン</t>
    </rPh>
    <phoneticPr fontId="1"/>
  </si>
  <si>
    <t>錘</t>
    <rPh sb="0" eb="1">
      <t>オモリ</t>
    </rPh>
    <phoneticPr fontId="1"/>
  </si>
  <si>
    <t>外径</t>
    <rPh sb="0" eb="2">
      <t>ガイケイ</t>
    </rPh>
    <phoneticPr fontId="1"/>
  </si>
  <si>
    <t>内径</t>
    <rPh sb="0" eb="2">
      <t>ナイケイ</t>
    </rPh>
    <phoneticPr fontId="1"/>
  </si>
  <si>
    <t>内径</t>
    <rPh sb="0" eb="2">
      <t>ナイ</t>
    </rPh>
    <phoneticPr fontId="1"/>
  </si>
  <si>
    <t>密度</t>
    <rPh sb="0" eb="2">
      <t>ミ</t>
    </rPh>
    <phoneticPr fontId="1"/>
  </si>
  <si>
    <t>モーメント</t>
    <phoneticPr fontId="1"/>
  </si>
  <si>
    <t>ロッド</t>
    <phoneticPr fontId="1"/>
  </si>
  <si>
    <t>ロッド重心位置</t>
  </si>
  <si>
    <t>ロッド重心位置</t>
    <rPh sb="3" eb="5">
      <t>ジュウシン</t>
    </rPh>
    <rPh sb="5" eb="7">
      <t>イチ</t>
    </rPh>
    <phoneticPr fontId="1"/>
  </si>
  <si>
    <t>重心位置</t>
    <phoneticPr fontId="1"/>
  </si>
  <si>
    <t>等価質量</t>
    <rPh sb="0" eb="2">
      <t>トウカ</t>
    </rPh>
    <rPh sb="2" eb="4">
      <t>シツリョウ</t>
    </rPh>
    <phoneticPr fontId="1"/>
  </si>
  <si>
    <t>投影面積</t>
    <rPh sb="0" eb="4">
      <t>トウエイメン</t>
    </rPh>
    <phoneticPr fontId="1"/>
  </si>
  <si>
    <t>m^2</t>
    <phoneticPr fontId="1"/>
  </si>
  <si>
    <t>-</t>
    <phoneticPr fontId="1"/>
  </si>
  <si>
    <t>環境</t>
    <rPh sb="0" eb="2">
      <t>カンキョウ</t>
    </rPh>
    <phoneticPr fontId="1"/>
  </si>
  <si>
    <t>係数</t>
    <rPh sb="0" eb="2">
      <t>ケイスウ</t>
    </rPh>
    <phoneticPr fontId="1"/>
  </si>
  <si>
    <t>錘オフセット量</t>
    <rPh sb="0" eb="1">
      <t>オモ</t>
    </rPh>
    <rPh sb="6" eb="7">
      <t>リョウ</t>
    </rPh>
    <phoneticPr fontId="1"/>
  </si>
  <si>
    <t>m/s^2</t>
    <phoneticPr fontId="1"/>
  </si>
  <si>
    <t>重力加速度</t>
    <rPh sb="0" eb="2">
      <t>ジュウリョク</t>
    </rPh>
    <rPh sb="2" eb="5">
      <t>カソクド</t>
    </rPh>
    <phoneticPr fontId="1"/>
  </si>
  <si>
    <t>大気密度</t>
    <rPh sb="0" eb="2">
      <t>タイキ</t>
    </rPh>
    <rPh sb="2" eb="4">
      <t>ミツド</t>
    </rPh>
    <phoneticPr fontId="1"/>
  </si>
  <si>
    <t>角度</t>
    <rPh sb="0" eb="2">
      <t>カ</t>
    </rPh>
    <phoneticPr fontId="1"/>
  </si>
  <si>
    <t>最大角度</t>
    <rPh sb="0" eb="4">
      <t>サイダイ</t>
    </rPh>
    <phoneticPr fontId="1"/>
  </si>
  <si>
    <t>deg</t>
    <phoneticPr fontId="1"/>
  </si>
  <si>
    <t>風速</t>
    <rPh sb="0" eb="2">
      <t>フウソ</t>
    </rPh>
    <phoneticPr fontId="1"/>
  </si>
  <si>
    <t>最大風速</t>
    <rPh sb="0" eb="2">
      <t>サイダイ</t>
    </rPh>
    <rPh sb="2" eb="4">
      <t>フウソク</t>
    </rPh>
    <phoneticPr fontId="1"/>
  </si>
  <si>
    <t>m/s</t>
    <phoneticPr fontId="1"/>
  </si>
  <si>
    <t>1m/sでの角度</t>
    <rPh sb="6" eb="8">
      <t>カクド</t>
    </rPh>
    <phoneticPr fontId="1"/>
  </si>
  <si>
    <t>3m/sでの角度</t>
    <rPh sb="6" eb="8">
      <t>カクド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</si>
</sst>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Sheet2!$B$3:$B$131</c:f>
              <c:numCache>
                <c:formatCode>General</c:formatCode>
                <c:ptCount val="12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8.3000000000000096</c:v>
                </c:pt>
                <c:pt idx="84">
                  <c:v>8.4</c:v>
                </c:pt>
                <c:pt idx="85">
                  <c:v>8.5</c:v>
                </c:pt>
                <c:pt idx="86">
                  <c:v>8.6000000000000103</c:v>
                </c:pt>
                <c:pt idx="87">
                  <c:v>8.7000000000000099</c:v>
                </c:pt>
                <c:pt idx="88">
                  <c:v>8.8000000000000096</c:v>
                </c:pt>
                <c:pt idx="89">
                  <c:v>8.9</c:v>
                </c:pt>
                <c:pt idx="90">
                  <c:v>9.0000000000000107</c:v>
                </c:pt>
                <c:pt idx="91">
                  <c:v>9.1000000000000192</c:v>
                </c:pt>
                <c:pt idx="92">
                  <c:v>9.2000000000000295</c:v>
                </c:pt>
                <c:pt idx="93">
                  <c:v>9.3000000000000398</c:v>
                </c:pt>
                <c:pt idx="94">
                  <c:v>9.4000000000000501</c:v>
                </c:pt>
                <c:pt idx="95">
                  <c:v>9.5000000000000604</c:v>
                </c:pt>
                <c:pt idx="96">
                  <c:v>9.6000000000000707</c:v>
                </c:pt>
                <c:pt idx="97">
                  <c:v>9.7000000000000792</c:v>
                </c:pt>
                <c:pt idx="98">
                  <c:v>9.8000000000000895</c:v>
                </c:pt>
                <c:pt idx="99">
                  <c:v>9.9000000000000998</c:v>
                </c:pt>
                <c:pt idx="100">
                  <c:v>10.000000000000099</c:v>
                </c:pt>
                <c:pt idx="101">
                  <c:v>10.100000000000099</c:v>
                </c:pt>
                <c:pt idx="102">
                  <c:v>10.200000000000101</c:v>
                </c:pt>
                <c:pt idx="103">
                  <c:v>10.3000000000001</c:v>
                </c:pt>
                <c:pt idx="104">
                  <c:v>10.400000000000199</c:v>
                </c:pt>
                <c:pt idx="105">
                  <c:v>10.500000000000201</c:v>
                </c:pt>
                <c:pt idx="106">
                  <c:v>10.6000000000002</c:v>
                </c:pt>
                <c:pt idx="107">
                  <c:v>10.7000000000002</c:v>
                </c:pt>
                <c:pt idx="108">
                  <c:v>10.8000000000002</c:v>
                </c:pt>
                <c:pt idx="109">
                  <c:v>10.900000000000199</c:v>
                </c:pt>
                <c:pt idx="110">
                  <c:v>11.000000000000201</c:v>
                </c:pt>
                <c:pt idx="111">
                  <c:v>11.1000000000002</c:v>
                </c:pt>
                <c:pt idx="112">
                  <c:v>11.2000000000002</c:v>
                </c:pt>
                <c:pt idx="113">
                  <c:v>11.3000000000002</c:v>
                </c:pt>
                <c:pt idx="114">
                  <c:v>11.400000000000301</c:v>
                </c:pt>
                <c:pt idx="115">
                  <c:v>11.5000000000003</c:v>
                </c:pt>
                <c:pt idx="116">
                  <c:v>11.6000000000003</c:v>
                </c:pt>
                <c:pt idx="117">
                  <c:v>11.700000000000299</c:v>
                </c:pt>
                <c:pt idx="118">
                  <c:v>11.800000000000299</c:v>
                </c:pt>
                <c:pt idx="119">
                  <c:v>11.900000000000301</c:v>
                </c:pt>
                <c:pt idx="120">
                  <c:v>12.0000000000003</c:v>
                </c:pt>
                <c:pt idx="121">
                  <c:v>12.1000000000003</c:v>
                </c:pt>
                <c:pt idx="122">
                  <c:v>12.200000000000299</c:v>
                </c:pt>
                <c:pt idx="123">
                  <c:v>12.3000000000004</c:v>
                </c:pt>
                <c:pt idx="124">
                  <c:v>12.4000000000004</c:v>
                </c:pt>
                <c:pt idx="125">
                  <c:v>12.5000000000004</c:v>
                </c:pt>
                <c:pt idx="126">
                  <c:v>12.600000000000399</c:v>
                </c:pt>
                <c:pt idx="127">
                  <c:v>12.700000000000401</c:v>
                </c:pt>
                <c:pt idx="128">
                  <c:v>12.8000000000004</c:v>
                </c:pt>
              </c:numCache>
            </c:numRef>
          </c:xVal>
          <c:yVal>
            <c:numRef>
              <c:f>Sheet2!$C$3:$C$131</c:f>
              <c:numCache>
                <c:formatCode>General</c:formatCode>
                <c:ptCount val="129"/>
                <c:pt idx="0">
                  <c:v>0</c:v>
                </c:pt>
                <c:pt idx="1">
                  <c:v>2.8441999480523394E-2</c:v>
                </c:pt>
                <c:pt idx="2">
                  <c:v>0.1137678577491741</c:v>
                </c:pt>
                <c:pt idx="3">
                  <c:v>0.25597631326584203</c:v>
                </c:pt>
                <c:pt idx="4">
                  <c:v>0.45506246026806418</c:v>
                </c:pt>
                <c:pt idx="5">
                  <c:v>0.71101354533522709</c:v>
                </c:pt>
                <c:pt idx="6">
                  <c:v>1.0238030875477691</c:v>
                </c:pt>
                <c:pt idx="7">
                  <c:v>1.3933833324626947</c:v>
                </c:pt>
                <c:pt idx="8">
                  <c:v>1.8196760605208775</c:v>
                </c:pt>
                <c:pt idx="9">
                  <c:v>2.3025617864233912</c:v>
                </c:pt>
                <c:pt idx="10">
                  <c:v>2.8418674085524871</c:v>
                </c:pt>
                <c:pt idx="11">
                  <c:v>3.4373523976001605</c:v>
                </c:pt>
                <c:pt idx="12">
                  <c:v>4.0886936518885006</c:v>
                </c:pt>
                <c:pt idx="13">
                  <c:v>4.7954691937415186</c:v>
                </c:pt>
                <c:pt idx="14">
                  <c:v>5.5571409365139459</c:v>
                </c:pt>
                <c:pt idx="15">
                  <c:v>6.3730368146549052</c:v>
                </c:pt>
                <c:pt idx="16">
                  <c:v>7.2423326378203807</c:v>
                </c:pt>
                <c:pt idx="17">
                  <c:v>8.1640341019259868</c:v>
                </c:pt>
                <c:pt idx="18">
                  <c:v>9.1369594614695764</c:v>
                </c:pt>
                <c:pt idx="19">
                  <c:v>10.159723433693284</c:v>
                </c:pt>
                <c:pt idx="20">
                  <c:v>11.23072296045088</c:v>
                </c:pt>
                <c:pt idx="21">
                  <c:v>12.348125491504753</c:v>
                </c:pt>
                <c:pt idx="22">
                  <c:v>13.509860466564213</c:v>
                </c:pt>
                <c:pt idx="23">
                  <c:v>14.713614656106127</c:v>
                </c:pt>
                <c:pt idx="24">
                  <c:v>15.956831967290009</c:v>
                </c:pt>
                <c:pt idx="25">
                  <c:v>17.236718227318278</c:v>
                </c:pt>
                <c:pt idx="26">
                  <c:v>18.55025132129451</c:v>
                </c:pt>
                <c:pt idx="27">
                  <c:v>19.894196887285382</c:v>
                </c:pt>
                <c:pt idx="28">
                  <c:v>21.26512956403694</c:v>
                </c:pt>
                <c:pt idx="29">
                  <c:v>22.659459556686564</c:v>
                </c:pt>
                <c:pt idx="30">
                  <c:v>24.073464046379549</c:v>
                </c:pt>
                <c:pt idx="31">
                  <c:v>25.503322736986838</c:v>
                </c:pt>
                <c:pt idx="32">
                  <c:v>26.945156623246465</c:v>
                </c:pt>
                <c:pt idx="33">
                  <c:v>28.395068896053928</c:v>
                </c:pt>
                <c:pt idx="34">
                  <c:v>29.849186786221171</c:v>
                </c:pt>
                <c:pt idx="35">
                  <c:v>31.303703097546432</c:v>
                </c:pt>
                <c:pt idx="36">
                  <c:v>32.75491619784178</c:v>
                </c:pt>
                <c:pt idx="37">
                  <c:v>34.199267321073556</c:v>
                </c:pt>
                <c:pt idx="38">
                  <c:v>35.633374177671442</c:v>
                </c:pt>
                <c:pt idx="39">
                  <c:v>37.054060061224035</c:v>
                </c:pt>
                <c:pt idx="40">
                  <c:v>38.458377862718919</c:v>
                </c:pt>
                <c:pt idx="41">
                  <c:v>39.843628641166191</c:v>
                </c:pt>
                <c:pt idx="42">
                  <c:v>41.207374635091099</c:v>
                </c:pt>
                <c:pt idx="43">
                  <c:v>42.547446818106778</c:v>
                </c:pt>
                <c:pt idx="44">
                  <c:v>43.861947291773539</c:v>
                </c:pt>
                <c:pt idx="45">
                  <c:v>45.149246962182239</c:v>
                </c:pt>
                <c:pt idx="46">
                  <c:v>46.407979059066705</c:v>
                </c:pt>
                <c:pt idx="47">
                  <c:v>47.637029127307102</c:v>
                </c:pt>
                <c:pt idx="48">
                  <c:v>48.835522153019831</c:v>
                </c:pt>
                <c:pt idx="49">
                  <c:v>50.002807484858771</c:v>
                </c:pt>
                <c:pt idx="50">
                  <c:v>51.138442181873074</c:v>
                </c:pt>
                <c:pt idx="51">
                  <c:v>52.242173369055209</c:v>
                </c:pt>
                <c:pt idx="52">
                  <c:v>53.313920117262327</c:v>
                </c:pt>
                <c:pt idx="53">
                  <c:v>54.353755291625141</c:v>
                </c:pt>
                <c:pt idx="54">
                  <c:v>55.361887737099025</c:v>
                </c:pt>
                <c:pt idx="55">
                  <c:v>56.33864509564529</c:v>
                </c:pt>
                <c:pt idx="56">
                  <c:v>57.284457479769017</c:v>
                </c:pt>
                <c:pt idx="57">
                  <c:v>58.199842163890793</c:v>
                </c:pt>
                <c:pt idx="58">
                  <c:v>59.085389399529127</c:v>
                </c:pt>
                <c:pt idx="59">
                  <c:v>59.941749413036455</c:v>
                </c:pt>
                <c:pt idx="60">
                  <c:v>60.769620605630799</c:v>
                </c:pt>
                <c:pt idx="61">
                  <c:v>61.569738944272203</c:v>
                </c:pt>
                <c:pt idx="62">
                  <c:v>62.342868507857197</c:v>
                </c:pt>
                <c:pt idx="63">
                  <c:v>63.089793135415086</c:v>
                </c:pt>
                <c:pt idx="64">
                  <c:v>63.811309110591687</c:v>
                </c:pt>
                <c:pt idx="65">
                  <c:v>64.508218808811051</c:v>
                </c:pt>
                <c:pt idx="66">
                  <c:v>65.181325229275629</c:v>
                </c:pt>
                <c:pt idx="67">
                  <c:v>65.831427332636551</c:v>
                </c:pt>
                <c:pt idx="68">
                  <c:v>66.459316106066396</c:v>
                </c:pt>
                <c:pt idx="69">
                  <c:v>67.065771280022105</c:v>
                </c:pt>
                <c:pt idx="70">
                  <c:v>67.651558624712223</c:v>
                </c:pt>
                <c:pt idx="71">
                  <c:v>68.217427758786044</c:v>
                </c:pt>
                <c:pt idx="72">
                  <c:v>68.764110407727685</c:v>
                </c:pt>
                <c:pt idx="73">
                  <c:v>69.292319054618503</c:v>
                </c:pt>
                <c:pt idx="74">
                  <c:v>69.802745931138361</c:v>
                </c:pt>
                <c:pt idx="75">
                  <c:v>70.296062301772167</c:v>
                </c:pt>
                <c:pt idx="76">
                  <c:v>70.772917999074224</c:v>
                </c:pt>
                <c:pt idx="77">
                  <c:v>71.233941172452347</c:v>
                </c:pt>
                <c:pt idx="78">
                  <c:v>71.679738217226898</c:v>
                </c:pt>
                <c:pt idx="79">
                  <c:v>72.110893854674558</c:v>
                </c:pt>
                <c:pt idx="80">
                  <c:v>72.527971337376627</c:v>
                </c:pt>
                <c:pt idx="81">
                  <c:v>72.931512757462002</c:v>
                </c:pt>
                <c:pt idx="82">
                  <c:v>73.322039438276519</c:v>
                </c:pt>
                <c:pt idx="83">
                  <c:v>73.700052392641567</c:v>
                </c:pt>
                <c:pt idx="84">
                  <c:v>74.0660328332049</c:v>
                </c:pt>
                <c:pt idx="85">
                  <c:v>74.420442722460024</c:v>
                </c:pt>
                <c:pt idx="86">
                  <c:v>74.763725351834381</c:v>
                </c:pt>
                <c:pt idx="87">
                  <c:v>75.09630594085364</c:v>
                </c:pt>
                <c:pt idx="88">
                  <c:v>75.418592248789878</c:v>
                </c:pt>
                <c:pt idx="89">
                  <c:v>75.730975192425035</c:v>
                </c:pt>
                <c:pt idx="90">
                  <c:v>76.033829464623224</c:v>
                </c:pt>
                <c:pt idx="91">
                  <c:v>76.327514149324927</c:v>
                </c:pt>
                <c:pt idx="92">
                  <c:v>76.612373329370442</c:v>
                </c:pt>
                <c:pt idx="93">
                  <c:v>76.888736684241877</c:v>
                </c:pt>
                <c:pt idx="94">
                  <c:v>77.156920075398816</c:v>
                </c:pt>
                <c:pt idx="95">
                  <c:v>77.41722611738281</c:v>
                </c:pt>
                <c:pt idx="96">
                  <c:v>77.669944733291402</c:v>
                </c:pt>
                <c:pt idx="97">
                  <c:v>77.915353693583327</c:v>
                </c:pt>
                <c:pt idx="98">
                  <c:v>78.153719137481275</c:v>
                </c:pt>
                <c:pt idx="99">
                  <c:v>78.385296076494427</c:v>
                </c:pt>
                <c:pt idx="100">
                  <c:v>78.610328879797009</c:v>
                </c:pt>
                <c:pt idx="101">
                  <c:v>78.829051741376844</c:v>
                </c:pt>
                <c:pt idx="102">
                  <c:v>79.041689129013946</c:v>
                </c:pt>
                <c:pt idx="103">
                  <c:v>79.248456215269556</c:v>
                </c:pt>
                <c:pt idx="104">
                  <c:v>79.449559290762721</c:v>
                </c:pt>
                <c:pt idx="105">
                  <c:v>79.645196160087423</c:v>
                </c:pt>
                <c:pt idx="106">
                  <c:v>79.835556520788558</c:v>
                </c:pt>
                <c:pt idx="107">
                  <c:v>80.020822325854581</c:v>
                </c:pt>
                <c:pt idx="108">
                  <c:v>80.201168130226606</c:v>
                </c:pt>
                <c:pt idx="109">
                  <c:v>80.376761421844023</c:v>
                </c:pt>
                <c:pt idx="110">
                  <c:v>80.547762937765313</c:v>
                </c:pt>
                <c:pt idx="111">
                  <c:v>80.714326965911042</c:v>
                </c:pt>
                <c:pt idx="112">
                  <c:v>80.876601632980694</c:v>
                </c:pt>
                <c:pt idx="113">
                  <c:v>81.034729179092977</c:v>
                </c:pt>
                <c:pt idx="114">
                  <c:v>81.188846219695179</c:v>
                </c:pt>
                <c:pt idx="115">
                  <c:v>81.339083995277804</c:v>
                </c:pt>
                <c:pt idx="116">
                  <c:v>81.485568609422714</c:v>
                </c:pt>
                <c:pt idx="117">
                  <c:v>81.628421255696111</c:v>
                </c:pt>
                <c:pt idx="118">
                  <c:v>81.767758433887991</c:v>
                </c:pt>
                <c:pt idx="119">
                  <c:v>81.903692156081831</c:v>
                </c:pt>
                <c:pt idx="120">
                  <c:v>82.03633014302315</c:v>
                </c:pt>
                <c:pt idx="121">
                  <c:v>82.16577601123879</c:v>
                </c:pt>
                <c:pt idx="122">
                  <c:v>82.292129451341992</c:v>
                </c:pt>
                <c:pt idx="123">
                  <c:v>82.415486397941365</c:v>
                </c:pt>
                <c:pt idx="124">
                  <c:v>82.535939191553979</c:v>
                </c:pt>
                <c:pt idx="125">
                  <c:v>82.653576732908903</c:v>
                </c:pt>
                <c:pt idx="126">
                  <c:v>82.768484630005972</c:v>
                </c:pt>
                <c:pt idx="127">
                  <c:v>82.880745338283234</c:v>
                </c:pt>
                <c:pt idx="128">
                  <c:v>82.990438294227815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59-45D3-BB1A-53221C80FE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6145679"/>
        <c:axId val="1636148559"/>
      </c:scatterChart>
      <c:valAx>
        <c:axId val="1636145679"/>
        <c:scaling>
          <c:orientation val="minMax"/>
          <c:max val="1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36148559"/>
        <c:crosses val="autoZero"/>
        <c:crossBetween val="midCat"/>
        <c:majorUnit val="1"/>
      </c:valAx>
      <c:valAx>
        <c:axId val="1636148559"/>
        <c:scaling>
          <c:orientation val="minMax"/>
          <c:max val="8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3614567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84A00C1-80A5-451D-8681-140B61D028FC}">
  <sheetPr/>
  <sheetViews>
    <sheetView zoomScale="115" workbookViewId="0" zoomToFit="1"/>
  </sheetViews>
  <pageMargins left="0.7" right="0.7" top="0.75" bottom="0.75" header="0.3" footer="0.3"/>
  <drawing r:id="rId1"/>
</chartsheet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400050</xdr:colOff>
      <xdr:row>10</xdr:row>
      <xdr:rowOff>152400</xdr:rowOff>
    </xdr:from>
    <xdr:to>
      <xdr:col>9</xdr:col>
      <xdr:colOff>254000</xdr:colOff>
      <xdr:row>12</xdr:row>
      <xdr:rowOff>114300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C628EF2-3180-F294-D80A-2FD30DB57909}"/>
            </a:ext>
          </a:extLst>
        </xdr:cNvPr>
        <xdr:cNvSpPr/>
      </xdr:nvSpPr>
      <xdr:spPr>
        <a:xfrm>
          <a:off x="9251950" y="2438400"/>
          <a:ext cx="514350" cy="419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241300</xdr:colOff>
      <xdr:row>9</xdr:row>
      <xdr:rowOff>44450</xdr:rowOff>
    </xdr:from>
    <xdr:to>
      <xdr:col>15</xdr:col>
      <xdr:colOff>500</xdr:colOff>
      <xdr:row>13</xdr:row>
      <xdr:rowOff>210050</xdr:rowOff>
    </xdr:to>
    <xdr:sp macro="" textlink="">
      <xdr:nvSpPr>
        <xdr:cNvPr id="4" name="楕円 3">
          <a:extLst>
            <a:ext uri="{FF2B5EF4-FFF2-40B4-BE49-F238E27FC236}">
              <a16:creationId xmlns:a16="http://schemas.microsoft.com/office/drawing/2014/main" id="{A3623D8E-B539-BD13-DE94-5B4B1D8D1123}"/>
            </a:ext>
          </a:extLst>
        </xdr:cNvPr>
        <xdr:cNvSpPr/>
      </xdr:nvSpPr>
      <xdr:spPr>
        <a:xfrm>
          <a:off x="12395200" y="2101850"/>
          <a:ext cx="1080000" cy="1080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342900</xdr:colOff>
      <xdr:row>11</xdr:row>
      <xdr:rowOff>88900</xdr:rowOff>
    </xdr:from>
    <xdr:to>
      <xdr:col>14</xdr:col>
      <xdr:colOff>654050</xdr:colOff>
      <xdr:row>11</xdr:row>
      <xdr:rowOff>177800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45D814E-0670-2B0E-051F-022D0CFC2240}"/>
            </a:ext>
          </a:extLst>
        </xdr:cNvPr>
        <xdr:cNvSpPr/>
      </xdr:nvSpPr>
      <xdr:spPr>
        <a:xfrm>
          <a:off x="9194800" y="2603500"/>
          <a:ext cx="4273550" cy="889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107950</xdr:colOff>
      <xdr:row>11</xdr:row>
      <xdr:rowOff>190500</xdr:rowOff>
    </xdr:from>
    <xdr:to>
      <xdr:col>10</xdr:col>
      <xdr:colOff>330200</xdr:colOff>
      <xdr:row>13</xdr:row>
      <xdr:rowOff>44450</xdr:rowOff>
    </xdr:to>
    <xdr:sp macro="" textlink="">
      <xdr:nvSpPr>
        <xdr:cNvPr id="3" name="二等辺三角形 2">
          <a:extLst>
            <a:ext uri="{FF2B5EF4-FFF2-40B4-BE49-F238E27FC236}">
              <a16:creationId xmlns:a16="http://schemas.microsoft.com/office/drawing/2014/main" id="{24DBD3AB-F9C5-B3F0-9E5D-BAB305F8BA75}"/>
            </a:ext>
          </a:extLst>
        </xdr:cNvPr>
        <xdr:cNvSpPr/>
      </xdr:nvSpPr>
      <xdr:spPr>
        <a:xfrm>
          <a:off x="10280650" y="2705100"/>
          <a:ext cx="222250" cy="311150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342900</xdr:colOff>
      <xdr:row>11</xdr:row>
      <xdr:rowOff>69850</xdr:rowOff>
    </xdr:from>
    <xdr:to>
      <xdr:col>11</xdr:col>
      <xdr:colOff>482600</xdr:colOff>
      <xdr:row>11</xdr:row>
      <xdr:rowOff>215900</xdr:rowOff>
    </xdr:to>
    <xdr:sp macro="" textlink="">
      <xdr:nvSpPr>
        <xdr:cNvPr id="6" name="楕円 5">
          <a:extLst>
            <a:ext uri="{FF2B5EF4-FFF2-40B4-BE49-F238E27FC236}">
              <a16:creationId xmlns:a16="http://schemas.microsoft.com/office/drawing/2014/main" id="{06284FED-149D-FC4A-11F9-12FFF05DD976}"/>
            </a:ext>
          </a:extLst>
        </xdr:cNvPr>
        <xdr:cNvSpPr/>
      </xdr:nvSpPr>
      <xdr:spPr>
        <a:xfrm>
          <a:off x="11176000" y="2584450"/>
          <a:ext cx="139700" cy="1460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203200</xdr:colOff>
      <xdr:row>10</xdr:row>
      <xdr:rowOff>184150</xdr:rowOff>
    </xdr:from>
    <xdr:to>
      <xdr:col>11</xdr:col>
      <xdr:colOff>431800</xdr:colOff>
      <xdr:row>10</xdr:row>
      <xdr:rowOff>184150</xdr:rowOff>
    </xdr:to>
    <xdr:cxnSp macro="">
      <xdr:nvCxnSpPr>
        <xdr:cNvPr id="8" name="直線矢印コネクタ 7">
          <a:extLst>
            <a:ext uri="{FF2B5EF4-FFF2-40B4-BE49-F238E27FC236}">
              <a16:creationId xmlns:a16="http://schemas.microsoft.com/office/drawing/2014/main" id="{80DE176E-CE31-17CE-3AF7-33DDB27C0B3F}"/>
            </a:ext>
          </a:extLst>
        </xdr:cNvPr>
        <xdr:cNvCxnSpPr/>
      </xdr:nvCxnSpPr>
      <xdr:spPr>
        <a:xfrm>
          <a:off x="10375900" y="2470150"/>
          <a:ext cx="8890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8609" cy="6079435"/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671FDF8-3575-1FC6-9148-C9CC610FE01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0.03266</cdr:x>
      <cdr:y>0.29791</cdr:y>
    </cdr:from>
    <cdr:to>
      <cdr:x>0.97922</cdr:x>
      <cdr:y>0.29791</cdr:y>
    </cdr:to>
    <cdr:cxnSp macro="">
      <cdr:nvCxnSpPr>
        <cdr:cNvPr id="3" name="直線コネクタ 2">
          <a:extLst xmlns:a="http://schemas.openxmlformats.org/drawingml/2006/main">
            <a:ext uri="{FF2B5EF4-FFF2-40B4-BE49-F238E27FC236}">
              <a16:creationId xmlns:a16="http://schemas.microsoft.com/office/drawing/2014/main" id="{4B8791B1-7976-E8A9-ED05-A08D4498CD49}"/>
            </a:ext>
          </a:extLst>
        </cdr:cNvPr>
        <cdr:cNvCxnSpPr/>
      </cdr:nvCxnSpPr>
      <cdr:spPr>
        <a:xfrm xmlns:a="http://schemas.openxmlformats.org/drawingml/2006/main">
          <a:off x="303695" y="1811130"/>
          <a:ext cx="8801652" cy="0"/>
        </a:xfrm>
        <a:prstGeom xmlns:a="http://schemas.openxmlformats.org/drawingml/2006/main" prst="line">
          <a:avLst/>
        </a:prstGeom>
        <a:ln xmlns:a="http://schemas.openxmlformats.org/drawingml/2006/main" w="38100">
          <a:solidFill>
            <a:srgbClr val="FF0000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3D828-1270-416A-99F5-083C9E529C83}">
  <dimension ref="A1:K39"/>
  <sheetViews>
    <sheetView tabSelected="1" topLeftCell="A17" workbookViewId="0">
      <selection activeCell="D22" sqref="D22"/>
    </sheetView>
  </sheetViews>
  <sheetFormatPr defaultRowHeight="18"/>
  <cols>
    <col min="1" max="1" width="10.25" bestFit="1" customWidth="1"/>
    <col min="2" max="2" width="26.58203125" bestFit="1" customWidth="1"/>
    <col min="3" max="4" width="14.58203125" customWidth="1"/>
    <col min="6" max="6" width="12.33203125" bestFit="1" customWidth="1"/>
    <col min="7" max="7" width="12.33203125" customWidth="1"/>
    <col min="8" max="8" width="16.83203125" bestFit="1" customWidth="1"/>
  </cols>
  <sheetData>
    <row r="1" spans="1:11">
      <c r="E1" t="s">
        <v>0</v>
      </c>
      <c r="F1" t="s">
        <v>36</v>
      </c>
      <c r="G1" t="s">
        <v>35</v>
      </c>
      <c r="H1" t="s">
        <v>38</v>
      </c>
    </row>
    <row r="2" spans="1:11">
      <c r="A2" t="s">
        <v>43</v>
      </c>
      <c r="B2" t="s">
        <v>52</v>
      </c>
      <c r="C2" t="s">
        <v>41</v>
      </c>
      <c r="D2">
        <v>16.930143308864643</v>
      </c>
    </row>
    <row r="3" spans="1:11">
      <c r="B3" t="s">
        <v>49</v>
      </c>
      <c r="C3" t="s">
        <v>18</v>
      </c>
      <c r="D3">
        <v>0.1</v>
      </c>
    </row>
    <row r="4" spans="1:11">
      <c r="B4" t="s">
        <v>51</v>
      </c>
      <c r="C4" t="s">
        <v>18</v>
      </c>
      <c r="D4">
        <v>7.0000000000000007E-2</v>
      </c>
    </row>
    <row r="5" spans="1:11">
      <c r="B5" t="s">
        <v>44</v>
      </c>
      <c r="C5" t="s">
        <v>45</v>
      </c>
      <c r="D5">
        <f>PI()*4/3*((D3/2)^3-(D4/2)^3)*D2</f>
        <v>5.8240437158469955E-3</v>
      </c>
    </row>
    <row r="6" spans="1:11">
      <c r="B6" t="s">
        <v>59</v>
      </c>
      <c r="C6" t="s">
        <v>60</v>
      </c>
      <c r="D6">
        <f>PI()/4*(D3^2)</f>
        <v>7.8539816339744835E-3</v>
      </c>
    </row>
    <row r="7" spans="1:11">
      <c r="B7" t="s">
        <v>28</v>
      </c>
      <c r="C7" t="s">
        <v>61</v>
      </c>
      <c r="D7">
        <v>0.55000000000000004</v>
      </c>
    </row>
    <row r="9" spans="1:11">
      <c r="A9" t="s">
        <v>54</v>
      </c>
      <c r="B9" t="s">
        <v>40</v>
      </c>
      <c r="C9" t="s">
        <v>41</v>
      </c>
      <c r="D9">
        <v>2700</v>
      </c>
    </row>
    <row r="10" spans="1:11">
      <c r="B10" t="s">
        <v>49</v>
      </c>
      <c r="C10" t="s">
        <v>18</v>
      </c>
      <c r="D10">
        <v>5.0000000000000001E-3</v>
      </c>
      <c r="K10" t="s">
        <v>55</v>
      </c>
    </row>
    <row r="11" spans="1:11">
      <c r="B11" t="s">
        <v>50</v>
      </c>
      <c r="C11" t="s">
        <v>18</v>
      </c>
      <c r="D11">
        <f>0.004</f>
        <v>4.0000000000000001E-3</v>
      </c>
    </row>
    <row r="12" spans="1:11">
      <c r="B12" t="s">
        <v>46</v>
      </c>
      <c r="C12" t="s">
        <v>18</v>
      </c>
      <c r="D12">
        <f>0.3</f>
        <v>0.3</v>
      </c>
    </row>
    <row r="13" spans="1:11">
      <c r="B13" t="s">
        <v>44</v>
      </c>
      <c r="C13" t="s">
        <v>45</v>
      </c>
      <c r="D13">
        <f>PI()/4*(D10^2-D11^2)*D12*D9</f>
        <v>5.7255526111673989E-3</v>
      </c>
    </row>
    <row r="15" spans="1:11">
      <c r="A15" t="s">
        <v>48</v>
      </c>
      <c r="B15" t="s">
        <v>40</v>
      </c>
      <c r="C15" t="s">
        <v>41</v>
      </c>
      <c r="D15">
        <v>7900</v>
      </c>
    </row>
    <row r="16" spans="1:11">
      <c r="B16" t="s">
        <v>49</v>
      </c>
      <c r="C16" t="s">
        <v>18</v>
      </c>
      <c r="D16">
        <f>0.02</f>
        <v>0.02</v>
      </c>
    </row>
    <row r="17" spans="1:10">
      <c r="B17" t="s">
        <v>50</v>
      </c>
      <c r="C17" t="s">
        <v>18</v>
      </c>
      <c r="D17">
        <f>0.006</f>
        <v>6.0000000000000001E-3</v>
      </c>
    </row>
    <row r="18" spans="1:10">
      <c r="B18" t="s">
        <v>46</v>
      </c>
      <c r="C18" t="s">
        <v>18</v>
      </c>
      <c r="D18">
        <v>0.02</v>
      </c>
    </row>
    <row r="19" spans="1:10">
      <c r="B19" t="s">
        <v>44</v>
      </c>
      <c r="C19" t="s">
        <v>45</v>
      </c>
      <c r="D19" s="2">
        <f>PI()/4*(D16^2-D17^2)*D18*D15</f>
        <v>4.5169819173314044E-2</v>
      </c>
      <c r="E19" s="2"/>
      <c r="F19" s="2"/>
      <c r="G19" s="2"/>
      <c r="H19" s="2"/>
      <c r="I19" s="2"/>
      <c r="J19" s="2"/>
    </row>
    <row r="20" spans="1:10">
      <c r="D20" s="2"/>
      <c r="E20" s="2"/>
      <c r="F20" s="2"/>
      <c r="G20" s="2"/>
      <c r="H20" s="2"/>
      <c r="I20" s="2"/>
      <c r="J20" s="2"/>
    </row>
    <row r="21" spans="1:10">
      <c r="A21" t="s">
        <v>53</v>
      </c>
      <c r="B21" t="s">
        <v>56</v>
      </c>
      <c r="C21" t="s">
        <v>18</v>
      </c>
      <c r="D21" s="2">
        <v>-0.08</v>
      </c>
      <c r="E21" s="2"/>
      <c r="F21" s="2"/>
      <c r="G21" s="2"/>
      <c r="H21" s="2"/>
      <c r="I21" s="2"/>
      <c r="J21" s="2"/>
    </row>
    <row r="22" spans="1:10">
      <c r="B22" t="s">
        <v>64</v>
      </c>
      <c r="C22" t="s">
        <v>18</v>
      </c>
      <c r="D22" s="2">
        <v>5.0000000000000001E-3</v>
      </c>
      <c r="E22" s="2"/>
      <c r="F22" s="2"/>
      <c r="G22" s="2"/>
      <c r="H22" s="2"/>
      <c r="I22" s="2"/>
      <c r="J22" s="2"/>
    </row>
    <row r="23" spans="1:10">
      <c r="B23" t="s">
        <v>42</v>
      </c>
      <c r="C23" t="s">
        <v>18</v>
      </c>
      <c r="D23">
        <f>-D12/2+D21+D3/2</f>
        <v>-0.18</v>
      </c>
    </row>
    <row r="24" spans="1:10">
      <c r="B24" t="s">
        <v>47</v>
      </c>
      <c r="C24" t="s">
        <v>18</v>
      </c>
      <c r="D24">
        <f>D12/2+D21-D22-D18/2</f>
        <v>5.4999999999999986E-2</v>
      </c>
    </row>
    <row r="25" spans="1:10">
      <c r="B25" t="s">
        <v>57</v>
      </c>
      <c r="C25" t="s">
        <v>18</v>
      </c>
      <c r="D25">
        <f>(D5*D23+D13*D21+D19*D24)/(D5+D13+D19)</f>
        <v>1.7242208301331274E-2</v>
      </c>
    </row>
    <row r="26" spans="1:10">
      <c r="B26" t="s">
        <v>58</v>
      </c>
      <c r="D26" s="2">
        <f>(D5*D23+D13*D21+D19*D24)/D25</f>
        <v>5.6719415500328441E-2</v>
      </c>
      <c r="E26" s="2"/>
      <c r="F26" s="2"/>
      <c r="G26" s="2"/>
      <c r="H26" s="2"/>
      <c r="I26" s="2"/>
      <c r="J26" s="2"/>
    </row>
    <row r="27" spans="1:10">
      <c r="D27" s="2"/>
      <c r="E27" s="2"/>
      <c r="F27" s="2"/>
      <c r="G27" s="2"/>
      <c r="H27" s="2"/>
      <c r="I27" s="2"/>
      <c r="J27" s="2"/>
    </row>
    <row r="28" spans="1:10">
      <c r="A28" t="s">
        <v>62</v>
      </c>
      <c r="B28" t="s">
        <v>66</v>
      </c>
      <c r="C28" t="s">
        <v>65</v>
      </c>
      <c r="D28" s="2">
        <v>9.81</v>
      </c>
      <c r="E28" s="2"/>
      <c r="F28" s="2"/>
      <c r="G28" s="2"/>
      <c r="H28" s="2"/>
      <c r="I28" s="2"/>
      <c r="J28" s="2"/>
    </row>
    <row r="29" spans="1:10">
      <c r="B29" t="s">
        <v>67</v>
      </c>
      <c r="C29" t="s">
        <v>41</v>
      </c>
      <c r="D29" s="2">
        <v>1.2250000000000001</v>
      </c>
      <c r="E29" s="2"/>
      <c r="F29" s="2"/>
      <c r="G29" s="2"/>
      <c r="H29" s="2"/>
      <c r="I29" s="2"/>
      <c r="J29" s="2"/>
    </row>
    <row r="30" spans="1:10">
      <c r="D30" s="2"/>
      <c r="E30" s="2"/>
      <c r="F30" s="2"/>
      <c r="G30" s="2"/>
      <c r="H30" s="2"/>
      <c r="I30" s="2"/>
      <c r="J30" s="2"/>
    </row>
    <row r="31" spans="1:10">
      <c r="A31" t="s">
        <v>63</v>
      </c>
      <c r="B31" t="s">
        <v>22</v>
      </c>
      <c r="C31" t="s">
        <v>61</v>
      </c>
      <c r="D31" s="2">
        <f>ABS(D26*D25/D23)</f>
        <v>5.433155426591227E-3</v>
      </c>
      <c r="E31" s="2"/>
      <c r="F31" s="2"/>
      <c r="G31" s="2"/>
      <c r="H31" s="2"/>
      <c r="I31" s="2"/>
      <c r="J31" s="2"/>
    </row>
    <row r="32" spans="1:10">
      <c r="B32" t="s">
        <v>11</v>
      </c>
      <c r="C32" t="s">
        <v>61</v>
      </c>
      <c r="D32" s="2">
        <f>(0.5*D29*D7*D6)/(D28*D31)</f>
        <v>4.9640657756039583E-2</v>
      </c>
      <c r="E32" s="2"/>
      <c r="F32" s="2"/>
      <c r="G32" s="2"/>
      <c r="H32" s="2"/>
      <c r="I32" s="2"/>
      <c r="J32" s="2"/>
    </row>
    <row r="33" spans="1:10">
      <c r="D33" s="2"/>
      <c r="E33" s="2"/>
      <c r="F33" s="2"/>
      <c r="G33" s="2"/>
      <c r="H33" s="2"/>
      <c r="I33" s="2"/>
      <c r="J33" s="2"/>
    </row>
    <row r="34" spans="1:10">
      <c r="A34" t="s">
        <v>68</v>
      </c>
      <c r="B34" t="s">
        <v>69</v>
      </c>
      <c r="C34" t="s">
        <v>70</v>
      </c>
      <c r="D34" s="2">
        <v>60</v>
      </c>
      <c r="E34" s="2"/>
      <c r="F34" s="2"/>
      <c r="G34" s="2"/>
      <c r="H34" s="2"/>
      <c r="I34" s="2"/>
      <c r="J34" s="2"/>
    </row>
    <row r="35" spans="1:10">
      <c r="B35" t="s">
        <v>74</v>
      </c>
      <c r="C35" t="s">
        <v>70</v>
      </c>
      <c r="D35" s="2">
        <f>DEGREES(ATAN(1^2*D32))</f>
        <v>2.8418674085524871</v>
      </c>
      <c r="E35" s="2"/>
      <c r="F35" s="2"/>
      <c r="G35" s="2"/>
      <c r="H35" s="2"/>
      <c r="I35" s="2"/>
      <c r="J35" s="2"/>
    </row>
    <row r="36" spans="1:10">
      <c r="B36" t="s">
        <v>75</v>
      </c>
      <c r="C36" t="s">
        <v>70</v>
      </c>
      <c r="D36" s="2">
        <f>DEGREES(ATAN(3^2*D32))</f>
        <v>24.073464046379549</v>
      </c>
      <c r="E36" s="2"/>
      <c r="F36" s="2"/>
      <c r="G36" s="2"/>
      <c r="H36" s="2"/>
      <c r="I36" s="2"/>
      <c r="J36" s="2"/>
    </row>
    <row r="37" spans="1:10">
      <c r="D37" s="2"/>
      <c r="E37" s="2"/>
      <c r="F37" s="2"/>
      <c r="G37" s="2"/>
      <c r="H37" s="2"/>
      <c r="I37" s="2"/>
      <c r="J37" s="2"/>
    </row>
    <row r="38" spans="1:10">
      <c r="D38" s="2"/>
      <c r="E38" s="2"/>
      <c r="F38" s="2"/>
      <c r="G38" s="2"/>
      <c r="H38" s="2"/>
      <c r="I38" s="2"/>
      <c r="J38" s="2"/>
    </row>
    <row r="39" spans="1:10">
      <c r="A39" t="s">
        <v>71</v>
      </c>
      <c r="B39" t="s">
        <v>72</v>
      </c>
      <c r="C39" t="s">
        <v>73</v>
      </c>
      <c r="D39">
        <f>SQRT(TAN(RADIANS(D34))/D32)</f>
        <v>5.9069262689695652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B8DC1-0901-4004-AEE1-57169980FD59}">
  <dimension ref="B2:D131"/>
  <sheetViews>
    <sheetView workbookViewId="0">
      <selection activeCell="C3" sqref="C3"/>
    </sheetView>
  </sheetViews>
  <sheetFormatPr defaultRowHeight="18"/>
  <sheetData>
    <row r="2" spans="2:4">
      <c r="B2" t="s">
        <v>37</v>
      </c>
      <c r="C2">
        <f>計算シート!D32</f>
        <v>4.9640657756039583E-2</v>
      </c>
    </row>
    <row r="3" spans="2:4">
      <c r="B3">
        <v>0</v>
      </c>
      <c r="C3">
        <f>DEGREES(ATAN($C$2*B3^2))</f>
        <v>0</v>
      </c>
      <c r="D3">
        <f>SQRT(TAN(RADIANS(C3))/$C$2)</f>
        <v>0</v>
      </c>
    </row>
    <row r="4" spans="2:4">
      <c r="B4">
        <v>0.1</v>
      </c>
      <c r="C4">
        <f t="shared" ref="C4:C67" si="0">DEGREES(ATAN($C$2*B4^2))</f>
        <v>2.8441999480523394E-2</v>
      </c>
      <c r="D4">
        <f>SQRT(TAN(RADIANS(C4))/$C$2)</f>
        <v>0.1</v>
      </c>
    </row>
    <row r="5" spans="2:4">
      <c r="B5">
        <v>0.2</v>
      </c>
      <c r="C5">
        <f t="shared" si="0"/>
        <v>0.1137678577491741</v>
      </c>
      <c r="D5">
        <f t="shared" ref="D5:D68" si="1">SQRT(TAN(RADIANS(C5))/$C$2)</f>
        <v>0.2</v>
      </c>
    </row>
    <row r="6" spans="2:4">
      <c r="B6">
        <v>0.3</v>
      </c>
      <c r="C6">
        <f t="shared" si="0"/>
        <v>0.25597631326584203</v>
      </c>
      <c r="D6">
        <f t="shared" si="1"/>
        <v>0.3</v>
      </c>
    </row>
    <row r="7" spans="2:4">
      <c r="B7">
        <v>0.4</v>
      </c>
      <c r="C7">
        <f t="shared" si="0"/>
        <v>0.45506246026806418</v>
      </c>
      <c r="D7">
        <f t="shared" si="1"/>
        <v>0.4</v>
      </c>
    </row>
    <row r="8" spans="2:4">
      <c r="B8">
        <v>0.5</v>
      </c>
      <c r="C8">
        <f t="shared" si="0"/>
        <v>0.71101354533522709</v>
      </c>
      <c r="D8">
        <f t="shared" si="1"/>
        <v>0.5</v>
      </c>
    </row>
    <row r="9" spans="2:4">
      <c r="B9">
        <v>0.6</v>
      </c>
      <c r="C9">
        <f t="shared" si="0"/>
        <v>1.0238030875477691</v>
      </c>
      <c r="D9">
        <f t="shared" si="1"/>
        <v>0.6</v>
      </c>
    </row>
    <row r="10" spans="2:4">
      <c r="B10">
        <v>0.7</v>
      </c>
      <c r="C10">
        <f t="shared" si="0"/>
        <v>1.3933833324626947</v>
      </c>
      <c r="D10">
        <f t="shared" si="1"/>
        <v>0.7</v>
      </c>
    </row>
    <row r="11" spans="2:4">
      <c r="B11">
        <v>0.8</v>
      </c>
      <c r="C11">
        <f t="shared" si="0"/>
        <v>1.8196760605208775</v>
      </c>
      <c r="D11">
        <f t="shared" si="1"/>
        <v>0.8</v>
      </c>
    </row>
    <row r="12" spans="2:4">
      <c r="B12">
        <v>0.9</v>
      </c>
      <c r="C12">
        <f t="shared" si="0"/>
        <v>2.3025617864233912</v>
      </c>
      <c r="D12">
        <f t="shared" si="1"/>
        <v>0.90000000000000013</v>
      </c>
    </row>
    <row r="13" spans="2:4">
      <c r="B13">
        <v>1</v>
      </c>
      <c r="C13">
        <f t="shared" si="0"/>
        <v>2.8418674085524871</v>
      </c>
      <c r="D13">
        <f t="shared" si="1"/>
        <v>1</v>
      </c>
    </row>
    <row r="14" spans="2:4">
      <c r="B14">
        <v>1.1000000000000001</v>
      </c>
      <c r="C14">
        <f t="shared" si="0"/>
        <v>3.4373523976001605</v>
      </c>
      <c r="D14">
        <f t="shared" si="1"/>
        <v>1.1000000000000001</v>
      </c>
    </row>
    <row r="15" spans="2:4">
      <c r="B15">
        <v>1.2</v>
      </c>
      <c r="C15">
        <f t="shared" si="0"/>
        <v>4.0886936518885006</v>
      </c>
      <c r="D15">
        <f t="shared" si="1"/>
        <v>1.2</v>
      </c>
    </row>
    <row r="16" spans="2:4">
      <c r="B16">
        <v>1.3</v>
      </c>
      <c r="C16">
        <f t="shared" si="0"/>
        <v>4.7954691937415186</v>
      </c>
      <c r="D16">
        <f t="shared" si="1"/>
        <v>1.3000000000000003</v>
      </c>
    </row>
    <row r="17" spans="2:4">
      <c r="B17">
        <v>1.4</v>
      </c>
      <c r="C17">
        <f t="shared" si="0"/>
        <v>5.5571409365139459</v>
      </c>
      <c r="D17">
        <f t="shared" si="1"/>
        <v>1.4</v>
      </c>
    </row>
    <row r="18" spans="2:4">
      <c r="B18">
        <v>1.5</v>
      </c>
      <c r="C18">
        <f t="shared" si="0"/>
        <v>6.3730368146549052</v>
      </c>
      <c r="D18">
        <f t="shared" si="1"/>
        <v>1.5</v>
      </c>
    </row>
    <row r="19" spans="2:4">
      <c r="B19">
        <v>1.6</v>
      </c>
      <c r="C19">
        <f t="shared" si="0"/>
        <v>7.2423326378203807</v>
      </c>
      <c r="D19">
        <f t="shared" si="1"/>
        <v>1.6</v>
      </c>
    </row>
    <row r="20" spans="2:4">
      <c r="B20">
        <v>1.7</v>
      </c>
      <c r="C20">
        <f t="shared" si="0"/>
        <v>8.1640341019259868</v>
      </c>
      <c r="D20">
        <f t="shared" si="1"/>
        <v>1.7</v>
      </c>
    </row>
    <row r="21" spans="2:4">
      <c r="B21">
        <v>1.8</v>
      </c>
      <c r="C21">
        <f t="shared" si="0"/>
        <v>9.1369594614695764</v>
      </c>
      <c r="D21">
        <f t="shared" si="1"/>
        <v>1.8</v>
      </c>
    </row>
    <row r="22" spans="2:4">
      <c r="B22">
        <v>1.9</v>
      </c>
      <c r="C22">
        <f t="shared" si="0"/>
        <v>10.159723433693284</v>
      </c>
      <c r="D22">
        <f t="shared" si="1"/>
        <v>1.9</v>
      </c>
    </row>
    <row r="23" spans="2:4">
      <c r="B23">
        <v>2</v>
      </c>
      <c r="C23">
        <f t="shared" si="0"/>
        <v>11.23072296045088</v>
      </c>
      <c r="D23">
        <f t="shared" si="1"/>
        <v>2</v>
      </c>
    </row>
    <row r="24" spans="2:4">
      <c r="B24">
        <v>2.1</v>
      </c>
      <c r="C24">
        <f t="shared" si="0"/>
        <v>12.348125491504753</v>
      </c>
      <c r="D24">
        <f t="shared" si="1"/>
        <v>2.1</v>
      </c>
    </row>
    <row r="25" spans="2:4">
      <c r="B25">
        <v>2.2000000000000002</v>
      </c>
      <c r="C25">
        <f t="shared" si="0"/>
        <v>13.509860466564213</v>
      </c>
      <c r="D25">
        <f t="shared" si="1"/>
        <v>2.2000000000000002</v>
      </c>
    </row>
    <row r="26" spans="2:4">
      <c r="B26">
        <v>2.2999999999999998</v>
      </c>
      <c r="C26">
        <f t="shared" si="0"/>
        <v>14.713614656106127</v>
      </c>
      <c r="D26">
        <f t="shared" si="1"/>
        <v>2.2999999999999998</v>
      </c>
    </row>
    <row r="27" spans="2:4">
      <c r="B27">
        <v>2.4</v>
      </c>
      <c r="C27">
        <f t="shared" si="0"/>
        <v>15.956831967290009</v>
      </c>
      <c r="D27">
        <f t="shared" si="1"/>
        <v>2.4</v>
      </c>
    </row>
    <row r="28" spans="2:4">
      <c r="B28">
        <v>2.5</v>
      </c>
      <c r="C28">
        <f t="shared" si="0"/>
        <v>17.236718227318278</v>
      </c>
      <c r="D28">
        <f t="shared" si="1"/>
        <v>2.5</v>
      </c>
    </row>
    <row r="29" spans="2:4">
      <c r="B29">
        <v>2.6</v>
      </c>
      <c r="C29">
        <f t="shared" si="0"/>
        <v>18.55025132129451</v>
      </c>
      <c r="D29">
        <f t="shared" si="1"/>
        <v>2.6</v>
      </c>
    </row>
    <row r="30" spans="2:4">
      <c r="B30">
        <v>2.7</v>
      </c>
      <c r="C30">
        <f t="shared" si="0"/>
        <v>19.894196887285382</v>
      </c>
      <c r="D30">
        <f t="shared" si="1"/>
        <v>2.7</v>
      </c>
    </row>
    <row r="31" spans="2:4">
      <c r="B31">
        <v>2.8</v>
      </c>
      <c r="C31">
        <f t="shared" si="0"/>
        <v>21.26512956403694</v>
      </c>
      <c r="D31">
        <f t="shared" si="1"/>
        <v>2.8</v>
      </c>
    </row>
    <row r="32" spans="2:4">
      <c r="B32">
        <v>2.9</v>
      </c>
      <c r="C32">
        <f t="shared" si="0"/>
        <v>22.659459556686564</v>
      </c>
      <c r="D32">
        <f t="shared" si="1"/>
        <v>2.9</v>
      </c>
    </row>
    <row r="33" spans="2:4">
      <c r="B33">
        <v>3</v>
      </c>
      <c r="C33">
        <f t="shared" si="0"/>
        <v>24.073464046379549</v>
      </c>
      <c r="D33">
        <f t="shared" si="1"/>
        <v>3.0000000000000004</v>
      </c>
    </row>
    <row r="34" spans="2:4">
      <c r="B34">
        <v>3.1</v>
      </c>
      <c r="C34">
        <f t="shared" si="0"/>
        <v>25.503322736986838</v>
      </c>
      <c r="D34">
        <f t="shared" si="1"/>
        <v>3.1000000000000005</v>
      </c>
    </row>
    <row r="35" spans="2:4">
      <c r="B35">
        <v>3.2</v>
      </c>
      <c r="C35">
        <f t="shared" si="0"/>
        <v>26.945156623246465</v>
      </c>
      <c r="D35">
        <f t="shared" si="1"/>
        <v>3.2</v>
      </c>
    </row>
    <row r="36" spans="2:4">
      <c r="B36">
        <v>3.3</v>
      </c>
      <c r="C36">
        <f t="shared" si="0"/>
        <v>28.395068896053928</v>
      </c>
      <c r="D36">
        <f t="shared" si="1"/>
        <v>3.3</v>
      </c>
    </row>
    <row r="37" spans="2:4">
      <c r="B37">
        <v>3.4</v>
      </c>
      <c r="C37">
        <f t="shared" si="0"/>
        <v>29.849186786221171</v>
      </c>
      <c r="D37">
        <f t="shared" si="1"/>
        <v>3.4</v>
      </c>
    </row>
    <row r="38" spans="2:4">
      <c r="B38">
        <v>3.5</v>
      </c>
      <c r="C38">
        <f t="shared" si="0"/>
        <v>31.303703097546432</v>
      </c>
      <c r="D38">
        <f t="shared" si="1"/>
        <v>3.5000000000000004</v>
      </c>
    </row>
    <row r="39" spans="2:4">
      <c r="B39">
        <v>3.6</v>
      </c>
      <c r="C39">
        <f t="shared" si="0"/>
        <v>32.75491619784178</v>
      </c>
      <c r="D39">
        <f t="shared" si="1"/>
        <v>3.6</v>
      </c>
    </row>
    <row r="40" spans="2:4">
      <c r="B40">
        <v>3.7</v>
      </c>
      <c r="C40">
        <f t="shared" si="0"/>
        <v>34.199267321073556</v>
      </c>
      <c r="D40">
        <f t="shared" si="1"/>
        <v>3.7000000000000011</v>
      </c>
    </row>
    <row r="41" spans="2:4">
      <c r="B41">
        <v>3.8</v>
      </c>
      <c r="C41">
        <f t="shared" si="0"/>
        <v>35.633374177671442</v>
      </c>
      <c r="D41">
        <f t="shared" si="1"/>
        <v>3.8</v>
      </c>
    </row>
    <row r="42" spans="2:4">
      <c r="B42">
        <v>3.9</v>
      </c>
      <c r="C42">
        <f t="shared" si="0"/>
        <v>37.054060061224035</v>
      </c>
      <c r="D42">
        <f t="shared" si="1"/>
        <v>3.9</v>
      </c>
    </row>
    <row r="43" spans="2:4">
      <c r="B43">
        <v>4</v>
      </c>
      <c r="C43">
        <f t="shared" si="0"/>
        <v>38.458377862718919</v>
      </c>
      <c r="D43">
        <f t="shared" si="1"/>
        <v>4</v>
      </c>
    </row>
    <row r="44" spans="2:4">
      <c r="B44">
        <v>4.0999999999999996</v>
      </c>
      <c r="C44">
        <f t="shared" si="0"/>
        <v>39.843628641166191</v>
      </c>
      <c r="D44">
        <f t="shared" si="1"/>
        <v>4.0999999999999996</v>
      </c>
    </row>
    <row r="45" spans="2:4">
      <c r="B45">
        <v>4.2</v>
      </c>
      <c r="C45">
        <f t="shared" si="0"/>
        <v>41.207374635091099</v>
      </c>
      <c r="D45">
        <f t="shared" si="1"/>
        <v>4.2</v>
      </c>
    </row>
    <row r="46" spans="2:4">
      <c r="B46">
        <v>4.3</v>
      </c>
      <c r="C46">
        <f t="shared" si="0"/>
        <v>42.547446818106778</v>
      </c>
      <c r="D46">
        <f t="shared" si="1"/>
        <v>4.3</v>
      </c>
    </row>
    <row r="47" spans="2:4">
      <c r="B47">
        <v>4.4000000000000004</v>
      </c>
      <c r="C47">
        <f t="shared" si="0"/>
        <v>43.861947291773539</v>
      </c>
      <c r="D47">
        <f t="shared" si="1"/>
        <v>4.4000000000000004</v>
      </c>
    </row>
    <row r="48" spans="2:4">
      <c r="B48">
        <v>4.5</v>
      </c>
      <c r="C48">
        <f t="shared" si="0"/>
        <v>45.149246962182239</v>
      </c>
      <c r="D48">
        <f t="shared" si="1"/>
        <v>4.5</v>
      </c>
    </row>
    <row r="49" spans="2:4">
      <c r="B49">
        <v>4.5999999999999996</v>
      </c>
      <c r="C49">
        <f t="shared" si="0"/>
        <v>46.407979059066705</v>
      </c>
      <c r="D49">
        <f t="shared" si="1"/>
        <v>4.5999999999999996</v>
      </c>
    </row>
    <row r="50" spans="2:4">
      <c r="B50">
        <v>4.7</v>
      </c>
      <c r="C50">
        <f t="shared" si="0"/>
        <v>47.637029127307102</v>
      </c>
      <c r="D50">
        <f t="shared" si="1"/>
        <v>4.7</v>
      </c>
    </row>
    <row r="51" spans="2:4">
      <c r="B51">
        <v>4.8</v>
      </c>
      <c r="C51">
        <f t="shared" si="0"/>
        <v>48.835522153019831</v>
      </c>
      <c r="D51">
        <f t="shared" si="1"/>
        <v>4.8</v>
      </c>
    </row>
    <row r="52" spans="2:4">
      <c r="B52">
        <v>4.9000000000000004</v>
      </c>
      <c r="C52">
        <f t="shared" si="0"/>
        <v>50.002807484858771</v>
      </c>
      <c r="D52">
        <f t="shared" si="1"/>
        <v>4.9000000000000012</v>
      </c>
    </row>
    <row r="53" spans="2:4">
      <c r="B53">
        <v>5</v>
      </c>
      <c r="C53">
        <f t="shared" si="0"/>
        <v>51.138442181873074</v>
      </c>
      <c r="D53">
        <f t="shared" si="1"/>
        <v>5</v>
      </c>
    </row>
    <row r="54" spans="2:4">
      <c r="B54">
        <v>5.0999999999999996</v>
      </c>
      <c r="C54">
        <f t="shared" si="0"/>
        <v>52.242173369055209</v>
      </c>
      <c r="D54">
        <f t="shared" si="1"/>
        <v>5.0999999999999996</v>
      </c>
    </row>
    <row r="55" spans="2:4">
      <c r="B55">
        <v>5.2</v>
      </c>
      <c r="C55">
        <f t="shared" si="0"/>
        <v>53.313920117262327</v>
      </c>
      <c r="D55">
        <f t="shared" si="1"/>
        <v>5.2</v>
      </c>
    </row>
    <row r="56" spans="2:4">
      <c r="B56">
        <v>5.3</v>
      </c>
      <c r="C56">
        <f t="shared" si="0"/>
        <v>54.353755291625141</v>
      </c>
      <c r="D56">
        <f t="shared" si="1"/>
        <v>5.3000000000000007</v>
      </c>
    </row>
    <row r="57" spans="2:4">
      <c r="B57">
        <v>5.4</v>
      </c>
      <c r="C57">
        <f t="shared" si="0"/>
        <v>55.361887737099025</v>
      </c>
      <c r="D57">
        <f t="shared" si="1"/>
        <v>5.4000000000000012</v>
      </c>
    </row>
    <row r="58" spans="2:4">
      <c r="B58">
        <v>5.5</v>
      </c>
      <c r="C58">
        <f t="shared" si="0"/>
        <v>56.33864509564529</v>
      </c>
      <c r="D58">
        <f t="shared" si="1"/>
        <v>5.5</v>
      </c>
    </row>
    <row r="59" spans="2:4">
      <c r="B59">
        <v>5.6</v>
      </c>
      <c r="C59">
        <f t="shared" si="0"/>
        <v>57.284457479769017</v>
      </c>
      <c r="D59">
        <f t="shared" si="1"/>
        <v>5.5999999999999988</v>
      </c>
    </row>
    <row r="60" spans="2:4">
      <c r="B60">
        <v>5.7</v>
      </c>
      <c r="C60">
        <f t="shared" si="0"/>
        <v>58.199842163890793</v>
      </c>
      <c r="D60">
        <f t="shared" si="1"/>
        <v>5.7</v>
      </c>
    </row>
    <row r="61" spans="2:4">
      <c r="B61">
        <v>5.8</v>
      </c>
      <c r="C61">
        <f t="shared" si="0"/>
        <v>59.085389399529127</v>
      </c>
      <c r="D61">
        <f t="shared" si="1"/>
        <v>5.8</v>
      </c>
    </row>
    <row r="62" spans="2:4">
      <c r="B62">
        <v>5.9</v>
      </c>
      <c r="C62">
        <f t="shared" si="0"/>
        <v>59.941749413036455</v>
      </c>
      <c r="D62">
        <f t="shared" si="1"/>
        <v>5.9</v>
      </c>
    </row>
    <row r="63" spans="2:4">
      <c r="B63">
        <v>6</v>
      </c>
      <c r="C63">
        <f t="shared" si="0"/>
        <v>60.769620605630799</v>
      </c>
      <c r="D63">
        <f t="shared" si="1"/>
        <v>6.0000000000000009</v>
      </c>
    </row>
    <row r="64" spans="2:4">
      <c r="B64">
        <v>6.1</v>
      </c>
      <c r="C64">
        <f t="shared" si="0"/>
        <v>61.569738944272203</v>
      </c>
      <c r="D64">
        <f t="shared" si="1"/>
        <v>6.0999999999999988</v>
      </c>
    </row>
    <row r="65" spans="2:4">
      <c r="B65">
        <v>6.2</v>
      </c>
      <c r="C65">
        <f t="shared" si="0"/>
        <v>62.342868507857197</v>
      </c>
      <c r="D65">
        <f t="shared" si="1"/>
        <v>6.2</v>
      </c>
    </row>
    <row r="66" spans="2:4">
      <c r="B66">
        <v>6.3</v>
      </c>
      <c r="C66">
        <f t="shared" si="0"/>
        <v>63.089793135415086</v>
      </c>
      <c r="D66">
        <f t="shared" si="1"/>
        <v>6.2999999999999989</v>
      </c>
    </row>
    <row r="67" spans="2:4">
      <c r="B67">
        <v>6.4</v>
      </c>
      <c r="C67">
        <f t="shared" si="0"/>
        <v>63.811309110591687</v>
      </c>
      <c r="D67">
        <f t="shared" si="1"/>
        <v>6.4</v>
      </c>
    </row>
    <row r="68" spans="2:4">
      <c r="B68">
        <v>6.5</v>
      </c>
      <c r="C68">
        <f t="shared" ref="C68:C131" si="2">DEGREES(ATAN($C$2*B68^2))</f>
        <v>64.508218808811051</v>
      </c>
      <c r="D68">
        <f t="shared" si="1"/>
        <v>6.5000000000000027</v>
      </c>
    </row>
    <row r="69" spans="2:4">
      <c r="B69">
        <v>6.6</v>
      </c>
      <c r="C69">
        <f t="shared" si="2"/>
        <v>65.181325229275629</v>
      </c>
      <c r="D69">
        <f t="shared" ref="D69:D131" si="3">SQRT(TAN(RADIANS(C69))/$C$2)</f>
        <v>6.6000000000000005</v>
      </c>
    </row>
    <row r="70" spans="2:4">
      <c r="B70">
        <v>6.7</v>
      </c>
      <c r="C70">
        <f t="shared" si="2"/>
        <v>65.831427332636551</v>
      </c>
      <c r="D70">
        <f t="shared" si="3"/>
        <v>6.6999999999999993</v>
      </c>
    </row>
    <row r="71" spans="2:4">
      <c r="B71">
        <v>6.8</v>
      </c>
      <c r="C71">
        <f t="shared" si="2"/>
        <v>66.459316106066396</v>
      </c>
      <c r="D71">
        <f t="shared" si="3"/>
        <v>6.8000000000000025</v>
      </c>
    </row>
    <row r="72" spans="2:4">
      <c r="B72">
        <v>6.9</v>
      </c>
      <c r="C72">
        <f t="shared" si="2"/>
        <v>67.065771280022105</v>
      </c>
      <c r="D72">
        <f t="shared" si="3"/>
        <v>6.9000000000000039</v>
      </c>
    </row>
    <row r="73" spans="2:4">
      <c r="B73">
        <v>7</v>
      </c>
      <c r="C73">
        <f t="shared" si="2"/>
        <v>67.651558624712223</v>
      </c>
      <c r="D73">
        <f t="shared" si="3"/>
        <v>7.0000000000000009</v>
      </c>
    </row>
    <row r="74" spans="2:4">
      <c r="B74">
        <v>7.1</v>
      </c>
      <c r="C74">
        <f t="shared" si="2"/>
        <v>68.217427758786044</v>
      </c>
      <c r="D74">
        <f t="shared" si="3"/>
        <v>7.1</v>
      </c>
    </row>
    <row r="75" spans="2:4">
      <c r="B75">
        <v>7.2</v>
      </c>
      <c r="C75">
        <f t="shared" si="2"/>
        <v>68.764110407727685</v>
      </c>
      <c r="D75">
        <f t="shared" si="3"/>
        <v>7.2</v>
      </c>
    </row>
    <row r="76" spans="2:4">
      <c r="B76">
        <v>7.3</v>
      </c>
      <c r="C76">
        <f t="shared" si="2"/>
        <v>69.292319054618503</v>
      </c>
      <c r="D76">
        <f t="shared" si="3"/>
        <v>7.3000000000000007</v>
      </c>
    </row>
    <row r="77" spans="2:4">
      <c r="B77">
        <v>7.4</v>
      </c>
      <c r="C77">
        <f t="shared" si="2"/>
        <v>69.802745931138361</v>
      </c>
      <c r="D77">
        <f t="shared" si="3"/>
        <v>7.4000000000000021</v>
      </c>
    </row>
    <row r="78" spans="2:4">
      <c r="B78">
        <v>7.5</v>
      </c>
      <c r="C78">
        <f t="shared" si="2"/>
        <v>70.296062301772167</v>
      </c>
      <c r="D78">
        <f t="shared" si="3"/>
        <v>7.5</v>
      </c>
    </row>
    <row r="79" spans="2:4">
      <c r="B79">
        <v>7.6</v>
      </c>
      <c r="C79">
        <f t="shared" si="2"/>
        <v>70.772917999074224</v>
      </c>
      <c r="D79">
        <f t="shared" si="3"/>
        <v>7.6</v>
      </c>
    </row>
    <row r="80" spans="2:4">
      <c r="B80">
        <v>7.7</v>
      </c>
      <c r="C80">
        <f t="shared" si="2"/>
        <v>71.233941172452347</v>
      </c>
      <c r="D80">
        <f t="shared" si="3"/>
        <v>7.7</v>
      </c>
    </row>
    <row r="81" spans="2:4">
      <c r="B81">
        <v>7.8</v>
      </c>
      <c r="C81">
        <f t="shared" si="2"/>
        <v>71.679738217226898</v>
      </c>
      <c r="D81">
        <f t="shared" si="3"/>
        <v>7.8</v>
      </c>
    </row>
    <row r="82" spans="2:4">
      <c r="B82">
        <v>7.9</v>
      </c>
      <c r="C82">
        <f t="shared" si="2"/>
        <v>72.110893854674558</v>
      </c>
      <c r="D82">
        <f t="shared" si="3"/>
        <v>7.9000000000000012</v>
      </c>
    </row>
    <row r="83" spans="2:4">
      <c r="B83">
        <v>8</v>
      </c>
      <c r="C83">
        <f t="shared" si="2"/>
        <v>72.527971337376627</v>
      </c>
      <c r="D83">
        <f t="shared" si="3"/>
        <v>8</v>
      </c>
    </row>
    <row r="84" spans="2:4">
      <c r="B84">
        <v>8.1</v>
      </c>
      <c r="C84">
        <f t="shared" si="2"/>
        <v>72.931512757462002</v>
      </c>
      <c r="D84">
        <f t="shared" si="3"/>
        <v>8.1</v>
      </c>
    </row>
    <row r="85" spans="2:4">
      <c r="B85">
        <v>8.1999999999999993</v>
      </c>
      <c r="C85">
        <f t="shared" si="2"/>
        <v>73.322039438276519</v>
      </c>
      <c r="D85">
        <f t="shared" si="3"/>
        <v>8.1999999999999975</v>
      </c>
    </row>
    <row r="86" spans="2:4">
      <c r="B86">
        <v>8.3000000000000096</v>
      </c>
      <c r="C86">
        <f t="shared" si="2"/>
        <v>73.700052392641567</v>
      </c>
      <c r="D86">
        <f t="shared" si="3"/>
        <v>8.3000000000000131</v>
      </c>
    </row>
    <row r="87" spans="2:4">
      <c r="B87">
        <v>8.4</v>
      </c>
      <c r="C87">
        <f t="shared" si="2"/>
        <v>74.0660328332049</v>
      </c>
      <c r="D87">
        <f t="shared" si="3"/>
        <v>8.4000000000000021</v>
      </c>
    </row>
    <row r="88" spans="2:4">
      <c r="B88">
        <v>8.5</v>
      </c>
      <c r="C88">
        <f t="shared" si="2"/>
        <v>74.420442722460024</v>
      </c>
      <c r="D88">
        <f t="shared" si="3"/>
        <v>8.5</v>
      </c>
    </row>
    <row r="89" spans="2:4">
      <c r="B89">
        <v>8.6000000000000103</v>
      </c>
      <c r="C89">
        <f t="shared" si="2"/>
        <v>74.763725351834381</v>
      </c>
      <c r="D89">
        <f t="shared" si="3"/>
        <v>8.6000000000000085</v>
      </c>
    </row>
    <row r="90" spans="2:4">
      <c r="B90">
        <v>8.7000000000000099</v>
      </c>
      <c r="C90">
        <f t="shared" si="2"/>
        <v>75.09630594085364</v>
      </c>
      <c r="D90">
        <f t="shared" si="3"/>
        <v>8.7000000000000099</v>
      </c>
    </row>
    <row r="91" spans="2:4">
      <c r="B91">
        <v>8.8000000000000096</v>
      </c>
      <c r="C91">
        <f t="shared" si="2"/>
        <v>75.418592248789878</v>
      </c>
      <c r="D91">
        <f t="shared" si="3"/>
        <v>8.8000000000000078</v>
      </c>
    </row>
    <row r="92" spans="2:4">
      <c r="B92">
        <v>8.9</v>
      </c>
      <c r="C92">
        <f t="shared" si="2"/>
        <v>75.730975192425035</v>
      </c>
      <c r="D92">
        <f t="shared" si="3"/>
        <v>8.9</v>
      </c>
    </row>
    <row r="93" spans="2:4">
      <c r="B93">
        <v>9.0000000000000107</v>
      </c>
      <c r="C93">
        <f t="shared" si="2"/>
        <v>76.033829464623224</v>
      </c>
      <c r="D93">
        <f t="shared" si="3"/>
        <v>9.0000000000000124</v>
      </c>
    </row>
    <row r="94" spans="2:4">
      <c r="B94">
        <v>9.1000000000000192</v>
      </c>
      <c r="C94">
        <f t="shared" si="2"/>
        <v>76.327514149324927</v>
      </c>
      <c r="D94">
        <f t="shared" si="3"/>
        <v>9.1000000000000227</v>
      </c>
    </row>
    <row r="95" spans="2:4">
      <c r="B95">
        <v>9.2000000000000295</v>
      </c>
      <c r="C95">
        <f t="shared" si="2"/>
        <v>76.612373329370442</v>
      </c>
      <c r="D95">
        <f t="shared" si="3"/>
        <v>9.2000000000000295</v>
      </c>
    </row>
    <row r="96" spans="2:4">
      <c r="B96">
        <v>9.3000000000000398</v>
      </c>
      <c r="C96">
        <f t="shared" si="2"/>
        <v>76.888736684241877</v>
      </c>
      <c r="D96">
        <f t="shared" si="3"/>
        <v>9.300000000000038</v>
      </c>
    </row>
    <row r="97" spans="2:4">
      <c r="B97">
        <v>9.4000000000000501</v>
      </c>
      <c r="C97">
        <f t="shared" si="2"/>
        <v>77.156920075398816</v>
      </c>
      <c r="D97">
        <f t="shared" si="3"/>
        <v>9.4000000000000483</v>
      </c>
    </row>
    <row r="98" spans="2:4">
      <c r="B98">
        <v>9.5000000000000604</v>
      </c>
      <c r="C98">
        <f t="shared" si="2"/>
        <v>77.41722611738281</v>
      </c>
      <c r="D98">
        <f t="shared" si="3"/>
        <v>9.5000000000000586</v>
      </c>
    </row>
    <row r="99" spans="2:4">
      <c r="B99">
        <v>9.6000000000000707</v>
      </c>
      <c r="C99">
        <f t="shared" si="2"/>
        <v>77.669944733291402</v>
      </c>
      <c r="D99">
        <f t="shared" si="3"/>
        <v>9.6000000000000725</v>
      </c>
    </row>
    <row r="100" spans="2:4">
      <c r="B100">
        <v>9.7000000000000792</v>
      </c>
      <c r="C100">
        <f t="shared" si="2"/>
        <v>77.915353693583327</v>
      </c>
      <c r="D100">
        <f t="shared" si="3"/>
        <v>9.7000000000000792</v>
      </c>
    </row>
    <row r="101" spans="2:4">
      <c r="B101">
        <v>9.8000000000000895</v>
      </c>
      <c r="C101">
        <f t="shared" si="2"/>
        <v>78.153719137481275</v>
      </c>
      <c r="D101">
        <f t="shared" si="3"/>
        <v>9.8000000000000931</v>
      </c>
    </row>
    <row r="102" spans="2:4">
      <c r="B102">
        <v>9.9000000000000998</v>
      </c>
      <c r="C102">
        <f t="shared" si="2"/>
        <v>78.385296076494427</v>
      </c>
      <c r="D102">
        <f t="shared" si="3"/>
        <v>9.9000000000000981</v>
      </c>
    </row>
    <row r="103" spans="2:4">
      <c r="B103">
        <v>10.000000000000099</v>
      </c>
      <c r="C103">
        <f t="shared" si="2"/>
        <v>78.610328879797009</v>
      </c>
      <c r="D103">
        <f t="shared" si="3"/>
        <v>10.000000000000099</v>
      </c>
    </row>
    <row r="104" spans="2:4">
      <c r="B104">
        <v>10.100000000000099</v>
      </c>
      <c r="C104">
        <f t="shared" si="2"/>
        <v>78.829051741376844</v>
      </c>
      <c r="D104">
        <f t="shared" si="3"/>
        <v>10.100000000000099</v>
      </c>
    </row>
    <row r="105" spans="2:4">
      <c r="B105">
        <v>10.200000000000101</v>
      </c>
      <c r="C105">
        <f t="shared" si="2"/>
        <v>79.041689129013946</v>
      </c>
      <c r="D105">
        <f t="shared" si="3"/>
        <v>10.200000000000104</v>
      </c>
    </row>
    <row r="106" spans="2:4">
      <c r="B106">
        <v>10.3000000000001</v>
      </c>
      <c r="C106">
        <f t="shared" si="2"/>
        <v>79.248456215269556</v>
      </c>
      <c r="D106">
        <f t="shared" si="3"/>
        <v>10.300000000000098</v>
      </c>
    </row>
    <row r="107" spans="2:4">
      <c r="B107">
        <v>10.400000000000199</v>
      </c>
      <c r="C107">
        <f t="shared" si="2"/>
        <v>79.449559290762721</v>
      </c>
      <c r="D107">
        <f t="shared" si="3"/>
        <v>10.400000000000199</v>
      </c>
    </row>
    <row r="108" spans="2:4">
      <c r="B108">
        <v>10.500000000000201</v>
      </c>
      <c r="C108">
        <f t="shared" si="2"/>
        <v>79.645196160087423</v>
      </c>
      <c r="D108">
        <f t="shared" si="3"/>
        <v>10.500000000000199</v>
      </c>
    </row>
    <row r="109" spans="2:4">
      <c r="B109">
        <v>10.6000000000002</v>
      </c>
      <c r="C109">
        <f t="shared" si="2"/>
        <v>79.835556520788558</v>
      </c>
      <c r="D109">
        <f t="shared" si="3"/>
        <v>10.600000000000202</v>
      </c>
    </row>
    <row r="110" spans="2:4">
      <c r="B110">
        <v>10.7000000000002</v>
      </c>
      <c r="C110">
        <f t="shared" si="2"/>
        <v>80.020822325854581</v>
      </c>
      <c r="D110">
        <f t="shared" si="3"/>
        <v>10.700000000000196</v>
      </c>
    </row>
    <row r="111" spans="2:4">
      <c r="B111">
        <v>10.8000000000002</v>
      </c>
      <c r="C111">
        <f t="shared" si="2"/>
        <v>80.201168130226606</v>
      </c>
      <c r="D111">
        <f t="shared" si="3"/>
        <v>10.800000000000196</v>
      </c>
    </row>
    <row r="112" spans="2:4">
      <c r="B112">
        <v>10.900000000000199</v>
      </c>
      <c r="C112">
        <f t="shared" si="2"/>
        <v>80.376761421844023</v>
      </c>
      <c r="D112">
        <f t="shared" si="3"/>
        <v>10.900000000000196</v>
      </c>
    </row>
    <row r="113" spans="2:4">
      <c r="B113">
        <v>11.000000000000201</v>
      </c>
      <c r="C113">
        <f t="shared" si="2"/>
        <v>80.547762937765313</v>
      </c>
      <c r="D113">
        <f t="shared" si="3"/>
        <v>11.000000000000201</v>
      </c>
    </row>
    <row r="114" spans="2:4">
      <c r="B114">
        <v>11.1000000000002</v>
      </c>
      <c r="C114">
        <f t="shared" si="2"/>
        <v>80.714326965911042</v>
      </c>
      <c r="D114">
        <f t="shared" si="3"/>
        <v>11.100000000000199</v>
      </c>
    </row>
    <row r="115" spans="2:4">
      <c r="B115">
        <v>11.2000000000002</v>
      </c>
      <c r="C115">
        <f t="shared" si="2"/>
        <v>80.876601632980694</v>
      </c>
      <c r="D115">
        <f t="shared" si="3"/>
        <v>11.200000000000198</v>
      </c>
    </row>
    <row r="116" spans="2:4">
      <c r="B116">
        <v>11.3000000000002</v>
      </c>
      <c r="C116">
        <f t="shared" si="2"/>
        <v>81.034729179092977</v>
      </c>
      <c r="D116">
        <f t="shared" si="3"/>
        <v>11.30000000000021</v>
      </c>
    </row>
    <row r="117" spans="2:4">
      <c r="B117">
        <v>11.400000000000301</v>
      </c>
      <c r="C117">
        <f t="shared" si="2"/>
        <v>81.188846219695179</v>
      </c>
      <c r="D117">
        <f t="shared" si="3"/>
        <v>11.400000000000301</v>
      </c>
    </row>
    <row r="118" spans="2:4">
      <c r="B118">
        <v>11.5000000000003</v>
      </c>
      <c r="C118">
        <f t="shared" si="2"/>
        <v>81.339083995277804</v>
      </c>
      <c r="D118">
        <f t="shared" si="3"/>
        <v>11.500000000000302</v>
      </c>
    </row>
    <row r="119" spans="2:4">
      <c r="B119">
        <v>11.6000000000003</v>
      </c>
      <c r="C119">
        <f t="shared" si="2"/>
        <v>81.485568609422714</v>
      </c>
      <c r="D119">
        <f t="shared" si="3"/>
        <v>11.6000000000003</v>
      </c>
    </row>
    <row r="120" spans="2:4">
      <c r="B120">
        <v>11.700000000000299</v>
      </c>
      <c r="C120">
        <f t="shared" si="2"/>
        <v>81.628421255696111</v>
      </c>
      <c r="D120">
        <f t="shared" si="3"/>
        <v>11.700000000000301</v>
      </c>
    </row>
    <row r="121" spans="2:4">
      <c r="B121">
        <v>11.800000000000299</v>
      </c>
      <c r="C121">
        <f t="shared" si="2"/>
        <v>81.767758433887991</v>
      </c>
      <c r="D121">
        <f t="shared" si="3"/>
        <v>11.800000000000301</v>
      </c>
    </row>
    <row r="122" spans="2:4">
      <c r="B122">
        <v>11.900000000000301</v>
      </c>
      <c r="C122">
        <f t="shared" si="2"/>
        <v>81.903692156081831</v>
      </c>
      <c r="D122">
        <f t="shared" si="3"/>
        <v>11.900000000000302</v>
      </c>
    </row>
    <row r="123" spans="2:4">
      <c r="B123">
        <v>12.0000000000003</v>
      </c>
      <c r="C123">
        <f t="shared" si="2"/>
        <v>82.03633014302315</v>
      </c>
      <c r="D123">
        <f t="shared" si="3"/>
        <v>12.000000000000306</v>
      </c>
    </row>
    <row r="124" spans="2:4">
      <c r="B124">
        <v>12.1000000000003</v>
      </c>
      <c r="C124">
        <f t="shared" si="2"/>
        <v>82.16577601123879</v>
      </c>
      <c r="D124">
        <f t="shared" si="3"/>
        <v>12.100000000000298</v>
      </c>
    </row>
    <row r="125" spans="2:4">
      <c r="B125">
        <v>12.200000000000299</v>
      </c>
      <c r="C125">
        <f t="shared" si="2"/>
        <v>82.292129451341992</v>
      </c>
      <c r="D125">
        <f t="shared" si="3"/>
        <v>12.200000000000296</v>
      </c>
    </row>
    <row r="126" spans="2:4">
      <c r="B126">
        <v>12.3000000000004</v>
      </c>
      <c r="C126">
        <f t="shared" si="2"/>
        <v>82.415486397941365</v>
      </c>
      <c r="D126">
        <f t="shared" si="3"/>
        <v>12.300000000000411</v>
      </c>
    </row>
    <row r="127" spans="2:4">
      <c r="B127">
        <v>12.4000000000004</v>
      </c>
      <c r="C127">
        <f t="shared" si="2"/>
        <v>82.535939191553979</v>
      </c>
      <c r="D127">
        <f t="shared" si="3"/>
        <v>12.400000000000412</v>
      </c>
    </row>
    <row r="128" spans="2:4">
      <c r="B128">
        <v>12.5000000000004</v>
      </c>
      <c r="C128">
        <f t="shared" si="2"/>
        <v>82.653576732908903</v>
      </c>
      <c r="D128">
        <f t="shared" si="3"/>
        <v>12.500000000000412</v>
      </c>
    </row>
    <row r="129" spans="2:4">
      <c r="B129">
        <v>12.600000000000399</v>
      </c>
      <c r="C129">
        <f t="shared" si="2"/>
        <v>82.768484630005972</v>
      </c>
      <c r="D129">
        <f t="shared" si="3"/>
        <v>12.600000000000408</v>
      </c>
    </row>
    <row r="130" spans="2:4">
      <c r="B130">
        <v>12.700000000000401</v>
      </c>
      <c r="C130">
        <f t="shared" si="2"/>
        <v>82.880745338283234</v>
      </c>
      <c r="D130">
        <f t="shared" si="3"/>
        <v>12.700000000000397</v>
      </c>
    </row>
    <row r="131" spans="2:4">
      <c r="B131">
        <v>12.8000000000004</v>
      </c>
      <c r="C131">
        <f t="shared" si="2"/>
        <v>82.990438294227815</v>
      </c>
      <c r="D131">
        <f t="shared" si="3"/>
        <v>12.800000000000397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"/>
  <sheetViews>
    <sheetView workbookViewId="0">
      <selection activeCell="F20" sqref="F20"/>
    </sheetView>
  </sheetViews>
  <sheetFormatPr defaultRowHeight="18" outlineLevelCol="1"/>
  <cols>
    <col min="1" max="1" width="9.9140625" bestFit="1" customWidth="1"/>
    <col min="2" max="2" width="26.58203125" bestFit="1" customWidth="1"/>
    <col min="4" max="4" width="12.33203125" bestFit="1" customWidth="1"/>
    <col min="5" max="5" width="12.33203125" customWidth="1"/>
    <col min="6" max="6" width="16.83203125" bestFit="1" customWidth="1"/>
    <col min="7" max="7" width="12.58203125" hidden="1" customWidth="1" outlineLevel="1"/>
    <col min="8" max="8" width="8.6640625" collapsed="1"/>
  </cols>
  <sheetData>
    <row r="1" spans="1:11">
      <c r="C1" t="s">
        <v>0</v>
      </c>
      <c r="D1" t="s">
        <v>36</v>
      </c>
      <c r="E1" t="s">
        <v>35</v>
      </c>
      <c r="F1" t="s">
        <v>38</v>
      </c>
      <c r="G1" t="s">
        <v>24</v>
      </c>
    </row>
    <row r="2" spans="1:11">
      <c r="A2" t="s">
        <v>12</v>
      </c>
      <c r="B2" t="s">
        <v>3</v>
      </c>
      <c r="C2">
        <v>-0.245</v>
      </c>
      <c r="D2" s="1">
        <f>-(0.395-D3-0.05)</f>
        <v>-0.27500000000000002</v>
      </c>
      <c r="E2" s="1">
        <f>-(0.3-E3-0.05-0.02)</f>
        <v>-0.18000000000000002</v>
      </c>
      <c r="F2" s="1">
        <f>-(0.3-F3-0.05-0.015)</f>
        <v>-0.18</v>
      </c>
      <c r="G2">
        <v>-0.26</v>
      </c>
    </row>
    <row r="3" spans="1:11">
      <c r="A3" t="s">
        <v>13</v>
      </c>
      <c r="B3" t="s">
        <v>4</v>
      </c>
      <c r="C3">
        <v>0.18</v>
      </c>
      <c r="D3" s="1">
        <v>7.0000000000000007E-2</v>
      </c>
      <c r="E3" s="1">
        <v>0.05</v>
      </c>
      <c r="F3" s="1">
        <v>5.5E-2</v>
      </c>
      <c r="G3">
        <v>7.0000000000000007E-2</v>
      </c>
    </row>
    <row r="4" spans="1:11">
      <c r="A4" t="s">
        <v>14</v>
      </c>
      <c r="B4" t="s">
        <v>9</v>
      </c>
      <c r="C4">
        <f>(C2+C3)/2</f>
        <v>-3.2500000000000001E-2</v>
      </c>
      <c r="D4">
        <f>(D2+D3)/2</f>
        <v>-0.10250000000000001</v>
      </c>
      <c r="E4">
        <f>(E2+E3)/2</f>
        <v>-6.5000000000000002E-2</v>
      </c>
      <c r="F4">
        <f>(F2+F3)/2</f>
        <v>-6.25E-2</v>
      </c>
      <c r="G4">
        <f>(G2+G3)/2</f>
        <v>-9.5000000000000001E-2</v>
      </c>
    </row>
    <row r="5" spans="1:11">
      <c r="A5" t="s">
        <v>15</v>
      </c>
      <c r="B5" t="s">
        <v>1</v>
      </c>
      <c r="C5">
        <v>1.46E-2</v>
      </c>
      <c r="D5">
        <f>C5*(D10/C10)^3</f>
        <v>4.3259259259259275E-3</v>
      </c>
      <c r="E5">
        <f>D5*(E10/D10)^3</f>
        <v>4.3259259259259275E-3</v>
      </c>
      <c r="F5">
        <f>E5*(F10/E10)^3</f>
        <v>4.3259259259259275E-3</v>
      </c>
      <c r="G5">
        <v>1.46E-2</v>
      </c>
      <c r="K5">
        <f>PI()*4/3*(0.075^3-0.06^3)</f>
        <v>8.6236718341039815E-4</v>
      </c>
    </row>
    <row r="6" spans="1:11">
      <c r="A6" t="s">
        <v>16</v>
      </c>
      <c r="B6" t="s">
        <v>2</v>
      </c>
      <c r="C6">
        <v>2.8799999999999999E-2</v>
      </c>
      <c r="D6" s="1">
        <f>0.011958*4</f>
        <v>4.7832E-2</v>
      </c>
      <c r="E6" s="1">
        <f>0.011958*4</f>
        <v>4.7832E-2</v>
      </c>
      <c r="F6" s="1">
        <f>0.041094+0.002527*2</f>
        <v>4.6148000000000002E-2</v>
      </c>
      <c r="G6">
        <v>8.3500000000000005E-2</v>
      </c>
      <c r="K6">
        <f>C5/K5</f>
        <v>16.930143308864643</v>
      </c>
    </row>
    <row r="7" spans="1:11">
      <c r="A7" t="s">
        <v>17</v>
      </c>
      <c r="B7" t="s">
        <v>10</v>
      </c>
      <c r="C7">
        <f>10.8/2/1000</f>
        <v>5.4000000000000003E-3</v>
      </c>
      <c r="D7">
        <f>2700*(0.005^2-0.004^2)*PI()/4*0.5</f>
        <v>9.5425876852789984E-3</v>
      </c>
      <c r="E7">
        <f>2700*(0.005^2-0.004^2)*PI()/4*0.5</f>
        <v>9.5425876852789984E-3</v>
      </c>
      <c r="F7">
        <f>2700*(0.005^2-0.004^2)*PI()/4*0.5</f>
        <v>9.5425876852789984E-3</v>
      </c>
      <c r="G7">
        <f>10.8/2/1000</f>
        <v>5.4000000000000003E-3</v>
      </c>
    </row>
    <row r="8" spans="1:11">
      <c r="A8" t="s">
        <v>19</v>
      </c>
      <c r="B8" t="s">
        <v>7</v>
      </c>
      <c r="C8">
        <f>(C3*C6+C2*C5+C4*C7)/(C5+C6+C7)</f>
        <v>2.9334016393442609E-2</v>
      </c>
      <c r="D8">
        <f>(D3*D6+D2*D5+D4*D7)/(D5+D6+D7)</f>
        <v>1.9132662980213707E-2</v>
      </c>
      <c r="E8">
        <f>(E3*E6+E2*E5+E4*E7)/(E5+E6+E7)</f>
        <v>1.6088441986809143E-2</v>
      </c>
      <c r="F8">
        <f>(F3*F6+F2*F5+F4*F7)/(F5+F6+F7)</f>
        <v>1.9379026421592324E-2</v>
      </c>
      <c r="G8">
        <f>(G3*G6+G2*G5+G4*G7)/(G5+G6+G7)</f>
        <v>1.4840579710144935E-2</v>
      </c>
    </row>
    <row r="9" spans="1:11">
      <c r="A9" t="s">
        <v>18</v>
      </c>
      <c r="B9" t="s">
        <v>8</v>
      </c>
      <c r="C9">
        <f>(C3*C6+C2*C5+C4*C7)/C8</f>
        <v>4.8800000000000003E-2</v>
      </c>
      <c r="D9">
        <f>(D3*D6+D2*D5+D4*D7)/D8</f>
        <v>6.1700513611204932E-2</v>
      </c>
      <c r="E9">
        <f>(E3*E6+E2*E5+E4*E7)/E8</f>
        <v>6.1700513611204925E-2</v>
      </c>
      <c r="F9">
        <f>(F3*F6+F2*F5+F4*F7)/F8</f>
        <v>6.0016513611204927E-2</v>
      </c>
      <c r="G9">
        <f>(G3*G6+G2*G5+G4*G7)/G8</f>
        <v>0.10350000000000001</v>
      </c>
    </row>
    <row r="10" spans="1:11">
      <c r="A10" t="s">
        <v>20</v>
      </c>
      <c r="B10" t="s">
        <v>5</v>
      </c>
      <c r="C10">
        <v>0.15</v>
      </c>
      <c r="D10">
        <v>0.1</v>
      </c>
      <c r="E10">
        <v>0.1</v>
      </c>
      <c r="F10">
        <v>0.1</v>
      </c>
      <c r="G10">
        <v>0.15</v>
      </c>
    </row>
    <row r="11" spans="1:11">
      <c r="A11" t="s">
        <v>21</v>
      </c>
      <c r="B11" t="s">
        <v>6</v>
      </c>
      <c r="C11">
        <f>PI()*C10*C10/4</f>
        <v>1.7671458676442587E-2</v>
      </c>
      <c r="D11">
        <f>PI()*D10*D10/4</f>
        <v>7.8539816339744835E-3</v>
      </c>
      <c r="E11">
        <f>PI()*E10*E10/4</f>
        <v>7.8539816339744835E-3</v>
      </c>
      <c r="F11">
        <f>PI()*F10*F10/4</f>
        <v>7.8539816339744835E-3</v>
      </c>
      <c r="G11">
        <f>PI()*G10*G10/4</f>
        <v>1.7671458676442587E-2</v>
      </c>
    </row>
    <row r="12" spans="1:11">
      <c r="A12" t="s">
        <v>22</v>
      </c>
      <c r="C12">
        <f>ABS(C8*C9/C2)</f>
        <v>5.8428571428571401E-3</v>
      </c>
      <c r="D12">
        <f>ABS(D8*D9/D2)</f>
        <v>4.2927095731973546E-3</v>
      </c>
      <c r="E12">
        <f>ABS(E8*E9/E2)</f>
        <v>5.5148062988344343E-3</v>
      </c>
      <c r="F12">
        <f>ABS(F8*F9/F2)</f>
        <v>6.4614533500188653E-3</v>
      </c>
      <c r="G12">
        <f>ABS(G8*G9/G2)</f>
        <v>5.9076923076923108E-3</v>
      </c>
    </row>
    <row r="13" spans="1:11">
      <c r="A13" t="s">
        <v>23</v>
      </c>
      <c r="C13">
        <f>C12/C11</f>
        <v>0.33063807860106748</v>
      </c>
      <c r="D13">
        <f>D12/D11</f>
        <v>0.54656475826580742</v>
      </c>
      <c r="E13">
        <f>E12/E11</f>
        <v>0.70216694612305619</v>
      </c>
      <c r="F13">
        <f>F12/F11</f>
        <v>0.82269779217055117</v>
      </c>
      <c r="G13">
        <f>G12/G11</f>
        <v>0.33430699841251471</v>
      </c>
    </row>
    <row r="14" spans="1:11">
      <c r="A14" t="s">
        <v>39</v>
      </c>
      <c r="B14" t="s">
        <v>11</v>
      </c>
      <c r="C14">
        <f>(0.5*C19*C18*C11)/(C12*C17)</f>
        <v>0.10385966241569326</v>
      </c>
      <c r="D14">
        <f>(0.5*D19*D18*D11)/(D12*D17)</f>
        <v>6.282871097331158E-2</v>
      </c>
      <c r="E14">
        <f>(0.5*E19*E18*E11)/(E12*E17)</f>
        <v>4.8905690327471184E-2</v>
      </c>
      <c r="F14">
        <f>(0.5*F19*F18*F11)/(F12*F17)</f>
        <v>4.1740672640776223E-2</v>
      </c>
      <c r="G14">
        <f>(0.5*G19*G18*G11)/(G12*G17)</f>
        <v>0.10271983353129474</v>
      </c>
    </row>
    <row r="16" spans="1:11">
      <c r="A16" t="s">
        <v>26</v>
      </c>
      <c r="B16" t="s">
        <v>25</v>
      </c>
      <c r="C16">
        <v>1</v>
      </c>
      <c r="D16">
        <v>1</v>
      </c>
      <c r="E16">
        <v>1</v>
      </c>
      <c r="F16">
        <v>1</v>
      </c>
      <c r="G16">
        <v>5</v>
      </c>
    </row>
    <row r="17" spans="1:7">
      <c r="A17" t="s">
        <v>33</v>
      </c>
      <c r="B17" t="s">
        <v>34</v>
      </c>
      <c r="C17">
        <v>9.81</v>
      </c>
      <c r="D17">
        <v>9.81</v>
      </c>
      <c r="E17">
        <v>9.81</v>
      </c>
      <c r="F17">
        <v>9.81</v>
      </c>
      <c r="G17">
        <v>9.81</v>
      </c>
    </row>
    <row r="18" spans="1:7">
      <c r="A18" t="s">
        <v>27</v>
      </c>
      <c r="B18" t="s">
        <v>28</v>
      </c>
      <c r="C18">
        <v>0.55000000000000004</v>
      </c>
      <c r="D18">
        <v>0.55000000000000004</v>
      </c>
      <c r="E18">
        <v>0.55000000000000004</v>
      </c>
      <c r="F18">
        <v>0.55000000000000004</v>
      </c>
      <c r="G18">
        <v>0.55000000000000004</v>
      </c>
    </row>
    <row r="19" spans="1:7">
      <c r="A19" t="s">
        <v>30</v>
      </c>
      <c r="B19" t="s">
        <v>29</v>
      </c>
      <c r="C19">
        <v>1.2250000000000001</v>
      </c>
      <c r="D19">
        <v>1.2250000000000001</v>
      </c>
      <c r="E19">
        <v>1.2250000000000001</v>
      </c>
      <c r="F19">
        <v>1.2250000000000001</v>
      </c>
      <c r="G19">
        <v>1.2250000000000001</v>
      </c>
    </row>
    <row r="20" spans="1:7">
      <c r="A20" t="s">
        <v>31</v>
      </c>
      <c r="B20" t="s">
        <v>32</v>
      </c>
      <c r="C20">
        <f>DEGREES(ATAN((0.5*C19*(C16^2)*C18*C11)/(C12*C17)))</f>
        <v>5.9294612715625368</v>
      </c>
      <c r="D20">
        <f>DEGREES(ATAN((0.5*D19*(D16^2)*D18*D11)/(D12*D17)))</f>
        <v>3.5950944587820826</v>
      </c>
      <c r="E20">
        <f>DEGREES(ATAN((0.5*E19*(E16^2)*E18*E11)/(E12*E17)))</f>
        <v>2.799858868940047</v>
      </c>
      <c r="F20">
        <f>DEGREES(ATAN((0.5*F19*(F16^2)*F18*F11)/(F12*F17)))</f>
        <v>2.3901768985744445</v>
      </c>
      <c r="G20">
        <f>DEGREES(ATAN((0.5*G19*(G16^2)*G18*G11)/(G12*G17)))</f>
        <v>68.723627032801403</v>
      </c>
    </row>
    <row r="21" spans="1:7">
      <c r="C21">
        <f>DEGREES(ATAN($C$14*C16^2))</f>
        <v>5.9294612715625368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グラフ</vt:lpstr>
      </vt:variant>
      <vt:variant>
        <vt:i4>1</vt:i4>
      </vt:variant>
    </vt:vector>
  </HeadingPairs>
  <TitlesOfParts>
    <vt:vector size="4" baseType="lpstr">
      <vt:lpstr>計算シート</vt:lpstr>
      <vt:lpstr>Sheet2</vt:lpstr>
      <vt:lpstr>Sheet1</vt:lpstr>
      <vt:lpstr>グラフ1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naoto hirabayashi</dc:creator>
  <cp:lastModifiedBy>naoto hirabayashi</cp:lastModifiedBy>
  <dcterms:created xsi:type="dcterms:W3CDTF">2015-06-05T18:19:34Z</dcterms:created>
  <dcterms:modified xsi:type="dcterms:W3CDTF">2026-01-18T13:37:56Z</dcterms:modified>
</cp:coreProperties>
</file>