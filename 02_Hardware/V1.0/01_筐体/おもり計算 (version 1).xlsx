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irar\Documents\Git\GBA\02_Hardware\V1.0\01_筐体\"/>
    </mc:Choice>
  </mc:AlternateContent>
  <xr:revisionPtr revIDLastSave="0" documentId="13_ncr:1_{494091D9-65F1-426C-B378-F671E8EB866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5" i="2"/>
  <c r="D6" i="2"/>
  <c r="D7" i="2"/>
  <c r="D3" i="2"/>
  <c r="D4" i="2"/>
  <c r="F2" i="1"/>
  <c r="F4" i="1" s="1"/>
  <c r="F6" i="1"/>
  <c r="F11" i="1"/>
  <c r="F7" i="1"/>
  <c r="E6" i="1"/>
  <c r="E2" i="1"/>
  <c r="E4" i="1" s="1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3" i="2"/>
  <c r="D6" i="1"/>
  <c r="E11" i="1"/>
  <c r="E7" i="1"/>
  <c r="D2" i="1"/>
  <c r="D4" i="1" s="1"/>
  <c r="G11" i="1"/>
  <c r="G7" i="1"/>
  <c r="G4" i="1"/>
  <c r="D7" i="1"/>
  <c r="D11" i="1"/>
  <c r="D5" i="1"/>
  <c r="E5" i="1" s="1"/>
  <c r="F5" i="1" s="1"/>
  <c r="C7" i="1"/>
  <c r="C4" i="1"/>
  <c r="C11" i="1"/>
  <c r="F8" i="1" l="1"/>
  <c r="G8" i="1"/>
  <c r="G9" i="1" s="1"/>
  <c r="G12" i="1" s="1"/>
  <c r="E8" i="1"/>
  <c r="D8" i="1"/>
  <c r="D9" i="1" s="1"/>
  <c r="C8" i="1"/>
  <c r="G13" i="1" l="1"/>
  <c r="G14" i="1"/>
  <c r="F9" i="1"/>
  <c r="F12" i="1" s="1"/>
  <c r="G20" i="1"/>
  <c r="E9" i="1"/>
  <c r="E12" i="1" s="1"/>
  <c r="D12" i="1"/>
  <c r="C9" i="1"/>
  <c r="C12" i="1" s="1"/>
  <c r="F13" i="1" l="1"/>
  <c r="F14" i="1"/>
  <c r="F20" i="1"/>
  <c r="C20" i="1"/>
  <c r="C14" i="1"/>
  <c r="E20" i="1"/>
  <c r="E14" i="1"/>
  <c r="D20" i="1"/>
  <c r="D14" i="1"/>
  <c r="E13" i="1"/>
  <c r="C13" i="1"/>
  <c r="D13" i="1"/>
</calcChain>
</file>

<file path=xl/sharedStrings.xml><?xml version="1.0" encoding="utf-8"?>
<sst xmlns="http://schemas.openxmlformats.org/spreadsheetml/2006/main" count="40" uniqueCount="40">
  <si>
    <t>V0.0</t>
    <phoneticPr fontId="1"/>
  </si>
  <si>
    <t>球の質量[kg]</t>
    <rPh sb="0" eb="1">
      <t>キュウ</t>
    </rPh>
    <rPh sb="2" eb="4">
      <t>シツリョウ</t>
    </rPh>
    <phoneticPr fontId="1"/>
  </si>
  <si>
    <t>錘の質量[kg]</t>
    <rPh sb="0" eb="1">
      <t>オモリ</t>
    </rPh>
    <rPh sb="2" eb="4">
      <t>シツリョウ</t>
    </rPh>
    <phoneticPr fontId="1"/>
  </si>
  <si>
    <t>支柱から球までの距離[m]</t>
    <rPh sb="0" eb="2">
      <t>シチュウ</t>
    </rPh>
    <rPh sb="4" eb="5">
      <t>キュウ</t>
    </rPh>
    <rPh sb="8" eb="10">
      <t>キョリ</t>
    </rPh>
    <phoneticPr fontId="1"/>
  </si>
  <si>
    <t>支柱から錘までの距離[m]</t>
    <rPh sb="0" eb="2">
      <t>シチュウ</t>
    </rPh>
    <rPh sb="4" eb="5">
      <t>オモリ</t>
    </rPh>
    <rPh sb="8" eb="10">
      <t>キョリ</t>
    </rPh>
    <phoneticPr fontId="1"/>
  </si>
  <si>
    <t>球の半径[m]</t>
    <rPh sb="0" eb="1">
      <t>キュウ</t>
    </rPh>
    <rPh sb="2" eb="4">
      <t>ハン</t>
    </rPh>
    <phoneticPr fontId="1"/>
  </si>
  <si>
    <t>球の面積[m^2]</t>
    <rPh sb="0" eb="1">
      <t>キュウ</t>
    </rPh>
    <rPh sb="2" eb="4">
      <t>メ</t>
    </rPh>
    <phoneticPr fontId="1"/>
  </si>
  <si>
    <t>重心位置[m]</t>
    <rPh sb="0" eb="4">
      <t>ジュウシンイチ</t>
    </rPh>
    <phoneticPr fontId="1"/>
  </si>
  <si>
    <t>等価質量[kg]</t>
    <rPh sb="0" eb="2">
      <t>トウカ</t>
    </rPh>
    <rPh sb="2" eb="4">
      <t>シツリョウ</t>
    </rPh>
    <phoneticPr fontId="1"/>
  </si>
  <si>
    <t>ロッド重心位置[m]</t>
    <rPh sb="3" eb="5">
      <t>ジュウシン</t>
    </rPh>
    <rPh sb="5" eb="7">
      <t>イチ</t>
    </rPh>
    <phoneticPr fontId="1"/>
  </si>
  <si>
    <t>ロッドの質量[kg]</t>
    <rPh sb="4" eb="6">
      <t>シツリョウ</t>
    </rPh>
    <phoneticPr fontId="1"/>
  </si>
  <si>
    <t>角度からの換算係数</t>
    <rPh sb="0" eb="2">
      <t>カクド</t>
    </rPh>
    <rPh sb="5" eb="7">
      <t>カンサン</t>
    </rPh>
    <rPh sb="7" eb="9">
      <t>ケイスウ</t>
    </rPh>
    <phoneticPr fontId="1"/>
  </si>
  <si>
    <t>l_b</t>
    <phoneticPr fontId="1"/>
  </si>
  <si>
    <t>l_w</t>
    <phoneticPr fontId="1"/>
  </si>
  <si>
    <t>l_l</t>
    <phoneticPr fontId="1"/>
  </si>
  <si>
    <t>m_b</t>
    <phoneticPr fontId="1"/>
  </si>
  <si>
    <t>m_w</t>
    <phoneticPr fontId="1"/>
  </si>
  <si>
    <t>m_l</t>
    <phoneticPr fontId="1"/>
  </si>
  <si>
    <t>m</t>
    <phoneticPr fontId="1"/>
  </si>
  <si>
    <t>lg</t>
    <phoneticPr fontId="1"/>
  </si>
  <si>
    <t>r</t>
    <phoneticPr fontId="1"/>
  </si>
  <si>
    <t>S</t>
    <phoneticPr fontId="1"/>
  </si>
  <si>
    <t>f</t>
    <phoneticPr fontId="1"/>
  </si>
  <si>
    <t>f/S</t>
    <phoneticPr fontId="1"/>
  </si>
  <si>
    <t>test</t>
    <phoneticPr fontId="1"/>
  </si>
  <si>
    <t>流速[m/s]</t>
    <rPh sb="0" eb="2">
      <t>リュウソク</t>
    </rPh>
    <phoneticPr fontId="1"/>
  </si>
  <si>
    <t>U</t>
    <phoneticPr fontId="1"/>
  </si>
  <si>
    <t>Cd</t>
    <phoneticPr fontId="1"/>
  </si>
  <si>
    <t>抗力係数</t>
    <rPh sb="0" eb="4">
      <t>コウリョクケイスウ</t>
    </rPh>
    <phoneticPr fontId="1"/>
  </si>
  <si>
    <t>大気密度[kg/m^3]</t>
    <rPh sb="0" eb="2">
      <t>タイキ</t>
    </rPh>
    <rPh sb="2" eb="4">
      <t>ミツド</t>
    </rPh>
    <phoneticPr fontId="1"/>
  </si>
  <si>
    <t>ρ</t>
    <phoneticPr fontId="1"/>
  </si>
  <si>
    <t>θ</t>
    <phoneticPr fontId="1"/>
  </si>
  <si>
    <t>角度[deg]</t>
    <rPh sb="0" eb="2">
      <t>カクド</t>
    </rPh>
    <phoneticPr fontId="1"/>
  </si>
  <si>
    <t>g</t>
    <phoneticPr fontId="1"/>
  </si>
  <si>
    <t>重力加速度[m/s^2]</t>
    <rPh sb="0" eb="2">
      <t>ジュウリョク</t>
    </rPh>
    <rPh sb="2" eb="5">
      <t>カソクド</t>
    </rPh>
    <phoneticPr fontId="1"/>
  </si>
  <si>
    <t>V1.0-Light</t>
    <phoneticPr fontId="1"/>
  </si>
  <si>
    <t>V1.0-Def</t>
    <phoneticPr fontId="1"/>
  </si>
  <si>
    <t>k</t>
    <phoneticPr fontId="1"/>
  </si>
  <si>
    <t>V1.0-Light-丸ボス</t>
    <rPh sb="11" eb="12">
      <t>マル</t>
    </rPh>
    <phoneticPr fontId="1"/>
  </si>
  <si>
    <t>coff_angle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</si>
</sst>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Sheet2!$B$3:$B$131</c:f>
              <c:numCache>
                <c:formatCode>General</c:formatCode>
                <c:ptCount val="1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8.3000000000000096</c:v>
                </c:pt>
                <c:pt idx="84">
                  <c:v>8.4</c:v>
                </c:pt>
                <c:pt idx="85">
                  <c:v>8.5</c:v>
                </c:pt>
                <c:pt idx="86">
                  <c:v>8.6000000000000103</c:v>
                </c:pt>
                <c:pt idx="87">
                  <c:v>8.7000000000000099</c:v>
                </c:pt>
                <c:pt idx="88">
                  <c:v>8.8000000000000096</c:v>
                </c:pt>
                <c:pt idx="89">
                  <c:v>8.9</c:v>
                </c:pt>
                <c:pt idx="90">
                  <c:v>9.0000000000000107</c:v>
                </c:pt>
                <c:pt idx="91">
                  <c:v>9.1000000000000192</c:v>
                </c:pt>
                <c:pt idx="92">
                  <c:v>9.2000000000000295</c:v>
                </c:pt>
                <c:pt idx="93">
                  <c:v>9.3000000000000398</c:v>
                </c:pt>
                <c:pt idx="94">
                  <c:v>9.4000000000000501</c:v>
                </c:pt>
                <c:pt idx="95">
                  <c:v>9.5000000000000604</c:v>
                </c:pt>
                <c:pt idx="96">
                  <c:v>9.6000000000000707</c:v>
                </c:pt>
                <c:pt idx="97">
                  <c:v>9.7000000000000792</c:v>
                </c:pt>
                <c:pt idx="98">
                  <c:v>9.8000000000000895</c:v>
                </c:pt>
                <c:pt idx="99">
                  <c:v>9.9000000000000998</c:v>
                </c:pt>
                <c:pt idx="100">
                  <c:v>10.000000000000099</c:v>
                </c:pt>
                <c:pt idx="101">
                  <c:v>10.100000000000099</c:v>
                </c:pt>
                <c:pt idx="102">
                  <c:v>10.200000000000101</c:v>
                </c:pt>
                <c:pt idx="103">
                  <c:v>10.3000000000001</c:v>
                </c:pt>
                <c:pt idx="104">
                  <c:v>10.400000000000199</c:v>
                </c:pt>
                <c:pt idx="105">
                  <c:v>10.500000000000201</c:v>
                </c:pt>
                <c:pt idx="106">
                  <c:v>10.6000000000002</c:v>
                </c:pt>
                <c:pt idx="107">
                  <c:v>10.7000000000002</c:v>
                </c:pt>
                <c:pt idx="108">
                  <c:v>10.8000000000002</c:v>
                </c:pt>
                <c:pt idx="109">
                  <c:v>10.900000000000199</c:v>
                </c:pt>
                <c:pt idx="110">
                  <c:v>11.000000000000201</c:v>
                </c:pt>
                <c:pt idx="111">
                  <c:v>11.1000000000002</c:v>
                </c:pt>
                <c:pt idx="112">
                  <c:v>11.2000000000002</c:v>
                </c:pt>
                <c:pt idx="113">
                  <c:v>11.3000000000002</c:v>
                </c:pt>
                <c:pt idx="114">
                  <c:v>11.400000000000301</c:v>
                </c:pt>
                <c:pt idx="115">
                  <c:v>11.5000000000003</c:v>
                </c:pt>
                <c:pt idx="116">
                  <c:v>11.6000000000003</c:v>
                </c:pt>
                <c:pt idx="117">
                  <c:v>11.700000000000299</c:v>
                </c:pt>
                <c:pt idx="118">
                  <c:v>11.800000000000299</c:v>
                </c:pt>
                <c:pt idx="119">
                  <c:v>11.900000000000301</c:v>
                </c:pt>
                <c:pt idx="120">
                  <c:v>12.0000000000003</c:v>
                </c:pt>
                <c:pt idx="121">
                  <c:v>12.1000000000003</c:v>
                </c:pt>
                <c:pt idx="122">
                  <c:v>12.200000000000299</c:v>
                </c:pt>
                <c:pt idx="123">
                  <c:v>12.3000000000004</c:v>
                </c:pt>
                <c:pt idx="124">
                  <c:v>12.4000000000004</c:v>
                </c:pt>
                <c:pt idx="125">
                  <c:v>12.5000000000004</c:v>
                </c:pt>
                <c:pt idx="126">
                  <c:v>12.600000000000399</c:v>
                </c:pt>
                <c:pt idx="127">
                  <c:v>12.700000000000401</c:v>
                </c:pt>
                <c:pt idx="128">
                  <c:v>12.8000000000004</c:v>
                </c:pt>
              </c:numCache>
            </c:numRef>
          </c:xVal>
          <c:yVal>
            <c:numRef>
              <c:f>Sheet2!$C$3:$C$131</c:f>
              <c:numCache>
                <c:formatCode>General</c:formatCode>
                <c:ptCount val="129"/>
                <c:pt idx="0">
                  <c:v>0</c:v>
                </c:pt>
                <c:pt idx="1">
                  <c:v>2.3915256979899938E-2</c:v>
                </c:pt>
                <c:pt idx="2">
                  <c:v>9.5660944588101454E-2</c:v>
                </c:pt>
                <c:pt idx="3">
                  <c:v>0.21523631284791431</c:v>
                </c:pt>
                <c:pt idx="4">
                  <c:v>0.38263844527867291</c:v>
                </c:pt>
                <c:pt idx="5">
                  <c:v>0.59785975968712479</c:v>
                </c:pt>
                <c:pt idx="6">
                  <c:v>0.86088451136437993</c:v>
                </c:pt>
                <c:pt idx="7">
                  <c:v>1.1716843029864481</c:v>
                </c:pt>
                <c:pt idx="8">
                  <c:v>1.530212609891503</c:v>
                </c:pt>
                <c:pt idx="9">
                  <c:v>1.9363983361193211</c:v>
                </c:pt>
                <c:pt idx="10">
                  <c:v>2.3901384261256804</c:v>
                </c:pt>
                <c:pt idx="11">
                  <c:v>2.8912895698578218</c:v>
                </c:pt>
                <c:pt idx="12">
                  <c:v>3.4396590552528883</c:v>
                </c:pt>
                <c:pt idx="13">
                  <c:v>4.0349948424454514</c:v>
                </c:pt>
                <c:pt idx="14">
                  <c:v>4.6769749581337861</c:v>
                </c:pt>
                <c:pt idx="15">
                  <c:v>5.3651963365424242</c:v>
                </c:pt>
                <c:pt idx="16">
                  <c:v>6.099163264852951</c:v>
                </c:pt>
                <c:pt idx="17">
                  <c:v>6.87827562516018</c:v>
                </c:pt>
                <c:pt idx="18">
                  <c:v>7.7018171608809487</c:v>
                </c:pt>
                <c:pt idx="19">
                  <c:v>8.5689440316258949</c:v>
                </c:pt>
                <c:pt idx="20">
                  <c:v>9.4786739549487784</c:v>
                </c:pt>
                <c:pt idx="21">
                  <c:v>10.429876263821164</c:v>
                </c:pt>
                <c:pt idx="22">
                  <c:v>11.421263232517134</c:v>
                </c:pt>
                <c:pt idx="23">
                  <c:v>12.451383037990714</c:v>
                </c:pt>
                <c:pt idx="24">
                  <c:v>13.518614725907701</c:v>
                </c:pt>
                <c:pt idx="25">
                  <c:v>14.621165537565172</c:v>
                </c:pt>
                <c:pt idx="26">
                  <c:v>15.75707092378164</c:v>
                </c:pt>
                <c:pt idx="27">
                  <c:v>16.92419752302742</c:v>
                </c:pt>
                <c:pt idx="28">
                  <c:v>18.120249313222317</c:v>
                </c:pt>
                <c:pt idx="29">
                  <c:v>19.342777060715605</c:v>
                </c:pt>
                <c:pt idx="30">
                  <c:v>20.58919108843395</c:v>
                </c:pt>
                <c:pt idx="31">
                  <c:v>21.856777272017318</c:v>
                </c:pt>
                <c:pt idx="32">
                  <c:v>23.142716053347495</c:v>
                </c:pt>
                <c:pt idx="33">
                  <c:v>24.444104141703132</c:v>
                </c:pt>
                <c:pt idx="34">
                  <c:v>25.757978460990234</c:v>
                </c:pt>
                <c:pt idx="35">
                  <c:v>27.081341804295974</c:v>
                </c:pt>
                <c:pt idx="36">
                  <c:v>28.411189580998855</c:v>
                </c:pt>
                <c:pt idx="37">
                  <c:v>29.744536992198743</c:v>
                </c:pt>
                <c:pt idx="38">
                  <c:v>31.078445950879825</c:v>
                </c:pt>
                <c:pt idx="39">
                  <c:v>32.410051075395444</c:v>
                </c:pt>
                <c:pt idx="40">
                  <c:v>33.736584127660429</c:v>
                </c:pt>
                <c:pt idx="41">
                  <c:v>35.055396337729242</c:v>
                </c:pt>
                <c:pt idx="42">
                  <c:v>36.363978149214013</c:v>
                </c:pt>
                <c:pt idx="43">
                  <c:v>37.659976028869885</c:v>
                </c:pt>
                <c:pt idx="44">
                  <c:v>38.94120610151554</c:v>
                </c:pt>
                <c:pt idx="45">
                  <c:v>40.2056644910503</c:v>
                </c:pt>
                <c:pt idx="46">
                  <c:v>41.451534362987609</c:v>
                </c:pt>
                <c:pt idx="47">
                  <c:v>42.677189767975364</c:v>
                </c:pt>
                <c:pt idx="48">
                  <c:v>43.881196474903959</c:v>
                </c:pt>
                <c:pt idx="49">
                  <c:v>45.062310053609281</c:v>
                </c:pt>
                <c:pt idx="50">
                  <c:v>46.219471519573801</c:v>
                </c:pt>
                <c:pt idx="51">
                  <c:v>47.351800886498978</c:v>
                </c:pt>
                <c:pt idx="52">
                  <c:v>48.458588988382367</c:v>
                </c:pt>
                <c:pt idx="53">
                  <c:v>49.539287932846065</c:v>
                </c:pt>
                <c:pt idx="54">
                  <c:v>50.593500534526875</c:v>
                </c:pt>
                <c:pt idx="55">
                  <c:v>51.620969054202554</c:v>
                </c:pt>
                <c:pt idx="56">
                  <c:v>52.621563538852129</c:v>
                </c:pt>
                <c:pt idx="57">
                  <c:v>53.595270022706231</c:v>
                </c:pt>
                <c:pt idx="58">
                  <c:v>54.542178811902794</c:v>
                </c:pt>
                <c:pt idx="59">
                  <c:v>55.462473037600056</c:v>
                </c:pt>
                <c:pt idx="60">
                  <c:v>56.356417625873945</c:v>
                </c:pt>
                <c:pt idx="61">
                  <c:v>57.22434879859312</c:v>
                </c:pt>
                <c:pt idx="62">
                  <c:v>58.066664188500717</c:v>
                </c:pt>
                <c:pt idx="63">
                  <c:v>58.883813624389539</c:v>
                </c:pt>
                <c:pt idx="64">
                  <c:v>59.67629061872519</c:v>
                </c:pt>
                <c:pt idx="65">
                  <c:v>60.444624570326937</c:v>
                </c:pt>
                <c:pt idx="66">
                  <c:v>61.189373678584154</c:v>
                </c:pt>
                <c:pt idx="67">
                  <c:v>61.911118552888134</c:v>
                </c:pt>
                <c:pt idx="68">
                  <c:v>62.610456491152206</c:v>
                </c:pt>
                <c:pt idx="69">
                  <c:v>63.287996394104319</c:v>
                </c:pt>
                <c:pt idx="70">
                  <c:v>63.944354277087427</c:v>
                </c:pt>
                <c:pt idx="71">
                  <c:v>64.580149338028974</c:v>
                </c:pt>
                <c:pt idx="72">
                  <c:v>65.196000538700446</c:v>
                </c:pt>
                <c:pt idx="73">
                  <c:v>65.79252365607492</c:v>
                </c:pt>
                <c:pt idx="74">
                  <c:v>66.370328761231434</c:v>
                </c:pt>
                <c:pt idx="75">
                  <c:v>66.930018084617174</c:v>
                </c:pt>
                <c:pt idx="76">
                  <c:v>67.472184228361968</c:v>
                </c:pt>
                <c:pt idx="77">
                  <c:v>67.997408688580904</c:v>
                </c:pt>
                <c:pt idx="78">
                  <c:v>68.506260653064402</c:v>
                </c:pt>
                <c:pt idx="79">
                  <c:v>68.999296042334976</c:v>
                </c:pt>
                <c:pt idx="80">
                  <c:v>69.477056764661157</c:v>
                </c:pt>
                <c:pt idx="81">
                  <c:v>69.940070158197713</c:v>
                </c:pt>
                <c:pt idx="82">
                  <c:v>70.38884859592136</c:v>
                </c:pt>
                <c:pt idx="83">
                  <c:v>70.823889231416942</c:v>
                </c:pt>
                <c:pt idx="84">
                  <c:v>71.245673865818787</c:v>
                </c:pt>
                <c:pt idx="85">
                  <c:v>71.654668918314272</c:v>
                </c:pt>
                <c:pt idx="86">
                  <c:v>72.051325484557623</c:v>
                </c:pt>
                <c:pt idx="87">
                  <c:v>72.436079469130803</c:v>
                </c:pt>
                <c:pt idx="88">
                  <c:v>72.809351779816552</c:v>
                </c:pt>
                <c:pt idx="89">
                  <c:v>73.17154857292806</c:v>
                </c:pt>
                <c:pt idx="90">
                  <c:v>73.523061540276032</c:v>
                </c:pt>
                <c:pt idx="91">
                  <c:v>73.864268229554</c:v>
                </c:pt>
                <c:pt idx="92">
                  <c:v>74.195532390999304</c:v>
                </c:pt>
                <c:pt idx="93">
                  <c:v>74.51720434414365</c:v>
                </c:pt>
                <c:pt idx="94">
                  <c:v>74.829621359321834</c:v>
                </c:pt>
                <c:pt idx="95">
                  <c:v>75.133108049360686</c:v>
                </c:pt>
                <c:pt idx="96">
                  <c:v>75.427976767538055</c:v>
                </c:pt>
                <c:pt idx="97">
                  <c:v>75.714528008488912</c:v>
                </c:pt>
                <c:pt idx="98">
                  <c:v>75.993050809251301</c:v>
                </c:pt>
                <c:pt idx="99">
                  <c:v>76.263823148096989</c:v>
                </c:pt>
                <c:pt idx="100">
                  <c:v>76.52711233918609</c:v>
                </c:pt>
                <c:pt idx="101">
                  <c:v>76.783175421428723</c:v>
                </c:pt>
                <c:pt idx="102">
                  <c:v>77.032259540235316</c:v>
                </c:pt>
                <c:pt idx="103">
                  <c:v>77.274602321095344</c:v>
                </c:pt>
                <c:pt idx="104">
                  <c:v>77.510432234148894</c:v>
                </c:pt>
                <c:pt idx="105">
                  <c:v>77.739968949103996</c:v>
                </c:pt>
                <c:pt idx="106">
                  <c:v>77.963423680024505</c:v>
                </c:pt>
                <c:pt idx="107">
                  <c:v>78.180999519644161</c:v>
                </c:pt>
                <c:pt idx="108">
                  <c:v>78.392891762991297</c:v>
                </c:pt>
                <c:pt idx="109">
                  <c:v>78.599288220204812</c:v>
                </c:pt>
                <c:pt idx="110">
                  <c:v>78.800369518509257</c:v>
                </c:pt>
                <c:pt idx="111">
                  <c:v>78.996309393387875</c:v>
                </c:pt>
                <c:pt idx="112">
                  <c:v>79.187274969051728</c:v>
                </c:pt>
                <c:pt idx="113">
                  <c:v>79.373427028352296</c:v>
                </c:pt>
                <c:pt idx="114">
                  <c:v>79.554920272324509</c:v>
                </c:pt>
                <c:pt idx="115">
                  <c:v>79.731903569578165</c:v>
                </c:pt>
                <c:pt idx="116">
                  <c:v>79.904520195784443</c:v>
                </c:pt>
                <c:pt idx="117">
                  <c:v>80.072908063517986</c:v>
                </c:pt>
                <c:pt idx="118">
                  <c:v>80.237199942735216</c:v>
                </c:pt>
                <c:pt idx="119">
                  <c:v>80.397523672176675</c:v>
                </c:pt>
                <c:pt idx="120">
                  <c:v>80.554002361989163</c:v>
                </c:pt>
                <c:pt idx="121">
                  <c:v>80.70675458786684</c:v>
                </c:pt>
                <c:pt idx="122">
                  <c:v>80.855894577012037</c:v>
                </c:pt>
                <c:pt idx="123">
                  <c:v>81.001532386215843</c:v>
                </c:pt>
                <c:pt idx="124">
                  <c:v>81.143774072354674</c:v>
                </c:pt>
                <c:pt idx="125">
                  <c:v>81.282721855598481</c:v>
                </c:pt>
                <c:pt idx="126">
                  <c:v>81.41847427561558</c:v>
                </c:pt>
                <c:pt idx="127">
                  <c:v>81.551126341058307</c:v>
                </c:pt>
                <c:pt idx="128">
                  <c:v>81.680769672603915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E-48E2-8EE5-114D8069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145679"/>
        <c:axId val="1636148559"/>
      </c:scatterChart>
      <c:valAx>
        <c:axId val="163614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6148559"/>
        <c:crosses val="autoZero"/>
        <c:crossBetween val="midCat"/>
      </c:valAx>
      <c:valAx>
        <c:axId val="16361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6145679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533400</xdr:colOff>
      <xdr:row>18</xdr:row>
      <xdr:rowOff>177800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E676AF0-CBDD-4DD8-A248-E7F976F66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A14" sqref="A14"/>
    </sheetView>
  </sheetViews>
  <sheetFormatPr defaultRowHeight="18" outlineLevelCol="1"/>
  <cols>
    <col min="1" max="1" width="9.9140625" bestFit="1" customWidth="1"/>
    <col min="2" max="2" width="26.58203125" bestFit="1" customWidth="1"/>
    <col min="4" max="4" width="12.33203125" bestFit="1" customWidth="1"/>
    <col min="5" max="5" width="12.33203125" customWidth="1"/>
    <col min="6" max="6" width="16.83203125" bestFit="1" customWidth="1"/>
    <col min="7" max="7" width="12.58203125" hidden="1" customWidth="1" outlineLevel="1"/>
    <col min="8" max="8" width="8.6640625" collapsed="1"/>
  </cols>
  <sheetData>
    <row r="1" spans="1:7">
      <c r="C1" t="s">
        <v>0</v>
      </c>
      <c r="D1" t="s">
        <v>36</v>
      </c>
      <c r="E1" t="s">
        <v>35</v>
      </c>
      <c r="F1" t="s">
        <v>38</v>
      </c>
      <c r="G1" t="s">
        <v>24</v>
      </c>
    </row>
    <row r="2" spans="1:7">
      <c r="A2" t="s">
        <v>12</v>
      </c>
      <c r="B2" t="s">
        <v>3</v>
      </c>
      <c r="C2">
        <v>-0.245</v>
      </c>
      <c r="D2" s="1">
        <f>-(0.395-D3-0.05)</f>
        <v>-0.27500000000000002</v>
      </c>
      <c r="E2" s="1">
        <f>-(0.3-E3-0.05-0.02)</f>
        <v>-0.18000000000000002</v>
      </c>
      <c r="F2" s="1">
        <f>-(0.3-F3-0.05-0.015)</f>
        <v>-0.18</v>
      </c>
      <c r="G2">
        <v>-0.26</v>
      </c>
    </row>
    <row r="3" spans="1:7">
      <c r="A3" t="s">
        <v>13</v>
      </c>
      <c r="B3" t="s">
        <v>4</v>
      </c>
      <c r="C3">
        <v>0.18</v>
      </c>
      <c r="D3" s="1">
        <v>7.0000000000000007E-2</v>
      </c>
      <c r="E3" s="1">
        <v>0.05</v>
      </c>
      <c r="F3" s="1">
        <v>5.5E-2</v>
      </c>
      <c r="G3">
        <v>7.0000000000000007E-2</v>
      </c>
    </row>
    <row r="4" spans="1:7">
      <c r="A4" t="s">
        <v>14</v>
      </c>
      <c r="B4" t="s">
        <v>9</v>
      </c>
      <c r="C4">
        <f>(C2+C3)/2</f>
        <v>-3.2500000000000001E-2</v>
      </c>
      <c r="D4">
        <f>(D2+D3)/2</f>
        <v>-0.10250000000000001</v>
      </c>
      <c r="E4">
        <f>(E2+E3)/2</f>
        <v>-6.5000000000000002E-2</v>
      </c>
      <c r="F4">
        <f>(F2+F3)/2</f>
        <v>-6.25E-2</v>
      </c>
      <c r="G4">
        <f>(G2+G3)/2</f>
        <v>-9.5000000000000001E-2</v>
      </c>
    </row>
    <row r="5" spans="1:7">
      <c r="A5" t="s">
        <v>15</v>
      </c>
      <c r="B5" t="s">
        <v>1</v>
      </c>
      <c r="C5">
        <v>1.46E-2</v>
      </c>
      <c r="D5">
        <f>C5*(D10/C10)^3</f>
        <v>4.3259259259259275E-3</v>
      </c>
      <c r="E5">
        <f>D5*(E10/D10)^3</f>
        <v>4.3259259259259275E-3</v>
      </c>
      <c r="F5">
        <f>E5*(F10/E10)^3</f>
        <v>4.3259259259259275E-3</v>
      </c>
      <c r="G5">
        <v>1.46E-2</v>
      </c>
    </row>
    <row r="6" spans="1:7">
      <c r="A6" t="s">
        <v>16</v>
      </c>
      <c r="B6" t="s">
        <v>2</v>
      </c>
      <c r="C6">
        <v>2.8799999999999999E-2</v>
      </c>
      <c r="D6" s="1">
        <f>0.011958*4</f>
        <v>4.7832E-2</v>
      </c>
      <c r="E6" s="1">
        <f>0.011958*4</f>
        <v>4.7832E-2</v>
      </c>
      <c r="F6" s="1">
        <f>0.041094+0.002527*2</f>
        <v>4.6148000000000002E-2</v>
      </c>
      <c r="G6">
        <v>8.3500000000000005E-2</v>
      </c>
    </row>
    <row r="7" spans="1:7">
      <c r="A7" t="s">
        <v>17</v>
      </c>
      <c r="B7" t="s">
        <v>10</v>
      </c>
      <c r="C7">
        <f>10.8/2/1000</f>
        <v>5.4000000000000003E-3</v>
      </c>
      <c r="D7">
        <f>2700*(0.005^2-0.004^2)*PI()/4*0.5</f>
        <v>9.5425876852789984E-3</v>
      </c>
      <c r="E7">
        <f>2700*(0.005^2-0.004^2)*PI()/4*0.5</f>
        <v>9.5425876852789984E-3</v>
      </c>
      <c r="F7">
        <f>2700*(0.005^2-0.004^2)*PI()/4*0.5</f>
        <v>9.5425876852789984E-3</v>
      </c>
      <c r="G7">
        <f>10.8/2/1000</f>
        <v>5.4000000000000003E-3</v>
      </c>
    </row>
    <row r="8" spans="1:7">
      <c r="A8" t="s">
        <v>19</v>
      </c>
      <c r="B8" t="s">
        <v>7</v>
      </c>
      <c r="C8">
        <f>(C3*C6+C2*C5+C4*C7)/(C5+C6+C7)</f>
        <v>2.9334016393442609E-2</v>
      </c>
      <c r="D8">
        <f>(D3*D6+D2*D5+D4*D7)/(D5+D6+D7)</f>
        <v>1.9132662980213707E-2</v>
      </c>
      <c r="E8">
        <f>(E3*E6+E2*E5+E4*E7)/(E5+E6+E7)</f>
        <v>1.6088441986809143E-2</v>
      </c>
      <c r="F8">
        <f>(F3*F6+F2*F5+F4*F7)/(F5+F6+F7)</f>
        <v>1.9379026421592324E-2</v>
      </c>
      <c r="G8">
        <f>(G3*G6+G2*G5+G4*G7)/(G5+G6+G7)</f>
        <v>1.4840579710144935E-2</v>
      </c>
    </row>
    <row r="9" spans="1:7">
      <c r="A9" t="s">
        <v>18</v>
      </c>
      <c r="B9" t="s">
        <v>8</v>
      </c>
      <c r="C9">
        <f>(C3*C6+C2*C5+C4*C7)/C8</f>
        <v>4.8800000000000003E-2</v>
      </c>
      <c r="D9">
        <f>(D3*D6+D2*D5+D4*D7)/D8</f>
        <v>6.1700513611204932E-2</v>
      </c>
      <c r="E9">
        <f>(E3*E6+E2*E5+E4*E7)/E8</f>
        <v>6.1700513611204925E-2</v>
      </c>
      <c r="F9">
        <f>(F3*F6+F2*F5+F4*F7)/F8</f>
        <v>6.0016513611204927E-2</v>
      </c>
      <c r="G9">
        <f>(G3*G6+G2*G5+G4*G7)/G8</f>
        <v>0.10350000000000001</v>
      </c>
    </row>
    <row r="10" spans="1:7">
      <c r="A10" t="s">
        <v>20</v>
      </c>
      <c r="B10" t="s">
        <v>5</v>
      </c>
      <c r="C10">
        <v>0.15</v>
      </c>
      <c r="D10">
        <v>0.1</v>
      </c>
      <c r="E10">
        <v>0.1</v>
      </c>
      <c r="F10">
        <v>0.1</v>
      </c>
      <c r="G10">
        <v>0.15</v>
      </c>
    </row>
    <row r="11" spans="1:7">
      <c r="A11" t="s">
        <v>21</v>
      </c>
      <c r="B11" t="s">
        <v>6</v>
      </c>
      <c r="C11">
        <f>PI()*C10*C10/4</f>
        <v>1.7671458676442587E-2</v>
      </c>
      <c r="D11">
        <f>PI()*D10*D10/4</f>
        <v>7.8539816339744835E-3</v>
      </c>
      <c r="E11">
        <f>PI()*E10*E10/4</f>
        <v>7.8539816339744835E-3</v>
      </c>
      <c r="F11">
        <f>PI()*F10*F10/4</f>
        <v>7.8539816339744835E-3</v>
      </c>
      <c r="G11">
        <f>PI()*G10*G10/4</f>
        <v>1.7671458676442587E-2</v>
      </c>
    </row>
    <row r="12" spans="1:7">
      <c r="A12" t="s">
        <v>22</v>
      </c>
      <c r="C12">
        <f>ABS(C8*C9/C2)</f>
        <v>5.8428571428571401E-3</v>
      </c>
      <c r="D12">
        <f>ABS(D8*D9/D2)</f>
        <v>4.2927095731973546E-3</v>
      </c>
      <c r="E12">
        <f>ABS(E8*E9/E2)</f>
        <v>5.5148062988344343E-3</v>
      </c>
      <c r="F12">
        <f>ABS(F8*F9/F2)</f>
        <v>6.4614533500188653E-3</v>
      </c>
      <c r="G12">
        <f>ABS(G8*G9/G2)</f>
        <v>5.9076923076923108E-3</v>
      </c>
    </row>
    <row r="13" spans="1:7">
      <c r="A13" t="s">
        <v>23</v>
      </c>
      <c r="C13">
        <f>C12/C11</f>
        <v>0.33063807860106748</v>
      </c>
      <c r="D13">
        <f>D12/D11</f>
        <v>0.54656475826580742</v>
      </c>
      <c r="E13">
        <f>E12/E11</f>
        <v>0.70216694612305619</v>
      </c>
      <c r="F13">
        <f>F12/F11</f>
        <v>0.82269779217055117</v>
      </c>
      <c r="G13">
        <f>G12/G11</f>
        <v>0.33430699841251471</v>
      </c>
    </row>
    <row r="14" spans="1:7">
      <c r="A14" t="s">
        <v>39</v>
      </c>
      <c r="B14" t="s">
        <v>11</v>
      </c>
      <c r="C14">
        <f>(0.5*C19*C18*C11)/(C12*C17)</f>
        <v>0.10385966241569326</v>
      </c>
      <c r="D14">
        <f>(0.5*D19*D18*D11)/(D12*D17)</f>
        <v>6.282871097331158E-2</v>
      </c>
      <c r="E14">
        <f>(0.5*E19*E18*E11)/(E12*E17)</f>
        <v>4.8905690327471184E-2</v>
      </c>
      <c r="F14">
        <f>(0.5*F19*F18*F11)/(F12*F17)</f>
        <v>4.1740672640776223E-2</v>
      </c>
      <c r="G14">
        <f>(0.5*G19*G18*G11)/(G12*G17)</f>
        <v>0.10271983353129474</v>
      </c>
    </row>
    <row r="16" spans="1:7">
      <c r="A16" t="s">
        <v>26</v>
      </c>
      <c r="B16" t="s">
        <v>25</v>
      </c>
      <c r="C16">
        <v>1</v>
      </c>
      <c r="D16">
        <v>1</v>
      </c>
      <c r="E16">
        <v>1</v>
      </c>
      <c r="F16">
        <v>1</v>
      </c>
      <c r="G16">
        <v>5</v>
      </c>
    </row>
    <row r="17" spans="1:7">
      <c r="A17" t="s">
        <v>33</v>
      </c>
      <c r="B17" t="s">
        <v>34</v>
      </c>
      <c r="C17">
        <v>9.81</v>
      </c>
      <c r="D17">
        <v>9.81</v>
      </c>
      <c r="E17">
        <v>9.81</v>
      </c>
      <c r="F17">
        <v>9.81</v>
      </c>
      <c r="G17">
        <v>9.81</v>
      </c>
    </row>
    <row r="18" spans="1:7">
      <c r="A18" t="s">
        <v>27</v>
      </c>
      <c r="B18" t="s">
        <v>28</v>
      </c>
      <c r="C18">
        <v>0.55000000000000004</v>
      </c>
      <c r="D18">
        <v>0.55000000000000004</v>
      </c>
      <c r="E18">
        <v>0.55000000000000004</v>
      </c>
      <c r="F18">
        <v>0.55000000000000004</v>
      </c>
      <c r="G18">
        <v>0.55000000000000004</v>
      </c>
    </row>
    <row r="19" spans="1:7">
      <c r="A19" t="s">
        <v>30</v>
      </c>
      <c r="B19" t="s">
        <v>29</v>
      </c>
      <c r="C19">
        <v>1.2250000000000001</v>
      </c>
      <c r="D19">
        <v>1.2250000000000001</v>
      </c>
      <c r="E19">
        <v>1.2250000000000001</v>
      </c>
      <c r="F19">
        <v>1.2250000000000001</v>
      </c>
      <c r="G19">
        <v>1.2250000000000001</v>
      </c>
    </row>
    <row r="20" spans="1:7">
      <c r="A20" t="s">
        <v>31</v>
      </c>
      <c r="B20" t="s">
        <v>32</v>
      </c>
      <c r="C20">
        <f>DEGREES(ATAN((0.5*C19*(C16^2)*C18*C11)/(C12*C17)))</f>
        <v>5.9294612715625368</v>
      </c>
      <c r="D20">
        <f>DEGREES(ATAN((0.5*D19*(D16^2)*D18*D11)/(D12*D17)))</f>
        <v>3.5950944587820826</v>
      </c>
      <c r="E20">
        <f>DEGREES(ATAN((0.5*E19*(E16^2)*E18*E11)/(E12*E17)))</f>
        <v>2.799858868940047</v>
      </c>
      <c r="F20">
        <f>DEGREES(ATAN((0.5*F19*(F16^2)*F18*F11)/(F12*F17)))</f>
        <v>2.3901768985744445</v>
      </c>
      <c r="G20">
        <f>DEGREES(ATAN((0.5*G19*(G16^2)*G18*G11)/(G12*G17)))</f>
        <v>68.723627032801403</v>
      </c>
    </row>
    <row r="21" spans="1:7">
      <c r="C21">
        <f>DEGREES(ATAN($C$14*C16^2))</f>
        <v>5.9294612715625368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8DC1-0901-4004-AEE1-57169980FD59}">
  <dimension ref="B2:D131"/>
  <sheetViews>
    <sheetView tabSelected="1" workbookViewId="0">
      <selection activeCell="C2" sqref="C2"/>
    </sheetView>
  </sheetViews>
  <sheetFormatPr defaultRowHeight="18"/>
  <sheetData>
    <row r="2" spans="2:4">
      <c r="B2" t="s">
        <v>37</v>
      </c>
      <c r="C2">
        <v>4.1739999999999999E-2</v>
      </c>
    </row>
    <row r="3" spans="2:4">
      <c r="B3">
        <v>0</v>
      </c>
      <c r="C3">
        <f>DEGREES(ATAN($C$2*B3^2))</f>
        <v>0</v>
      </c>
      <c r="D3">
        <f>SQRT(TAN(RADIANS(C3))/$C$2)</f>
        <v>0</v>
      </c>
    </row>
    <row r="4" spans="2:4">
      <c r="B4">
        <v>0.1</v>
      </c>
      <c r="C4">
        <f t="shared" ref="C4:C67" si="0">DEGREES(ATAN($C$2*B4^2))</f>
        <v>2.3915256979899938E-2</v>
      </c>
      <c r="D4">
        <f>SQRT(TAN(RADIANS(C4))/$C$2)</f>
        <v>0.1</v>
      </c>
    </row>
    <row r="5" spans="2:4">
      <c r="B5">
        <v>0.2</v>
      </c>
      <c r="C5">
        <f t="shared" si="0"/>
        <v>9.5660944588101454E-2</v>
      </c>
      <c r="D5">
        <f t="shared" ref="D5:D68" si="1">SQRT(TAN(RADIANS(C5))/$C$2)</f>
        <v>0.2</v>
      </c>
    </row>
    <row r="6" spans="2:4">
      <c r="B6">
        <v>0.3</v>
      </c>
      <c r="C6">
        <f t="shared" si="0"/>
        <v>0.21523631284791431</v>
      </c>
      <c r="D6">
        <f t="shared" si="1"/>
        <v>0.3</v>
      </c>
    </row>
    <row r="7" spans="2:4">
      <c r="B7">
        <v>0.4</v>
      </c>
      <c r="C7">
        <f t="shared" si="0"/>
        <v>0.38263844527867291</v>
      </c>
      <c r="D7">
        <f t="shared" si="1"/>
        <v>0.4</v>
      </c>
    </row>
    <row r="8" spans="2:4">
      <c r="B8">
        <v>0.5</v>
      </c>
      <c r="C8">
        <f t="shared" si="0"/>
        <v>0.59785975968712479</v>
      </c>
      <c r="D8">
        <f t="shared" si="1"/>
        <v>0.5</v>
      </c>
    </row>
    <row r="9" spans="2:4">
      <c r="B9">
        <v>0.6</v>
      </c>
      <c r="C9">
        <f t="shared" si="0"/>
        <v>0.86088451136437993</v>
      </c>
      <c r="D9">
        <f t="shared" si="1"/>
        <v>0.6</v>
      </c>
    </row>
    <row r="10" spans="2:4">
      <c r="B10">
        <v>0.7</v>
      </c>
      <c r="C10">
        <f t="shared" si="0"/>
        <v>1.1716843029864481</v>
      </c>
      <c r="D10">
        <f t="shared" si="1"/>
        <v>0.7</v>
      </c>
    </row>
    <row r="11" spans="2:4">
      <c r="B11">
        <v>0.8</v>
      </c>
      <c r="C11">
        <f t="shared" si="0"/>
        <v>1.530212609891503</v>
      </c>
      <c r="D11">
        <f t="shared" si="1"/>
        <v>0.8</v>
      </c>
    </row>
    <row r="12" spans="2:4">
      <c r="B12">
        <v>0.9</v>
      </c>
      <c r="C12">
        <f t="shared" si="0"/>
        <v>1.9363983361193211</v>
      </c>
      <c r="D12">
        <f t="shared" si="1"/>
        <v>0.9</v>
      </c>
    </row>
    <row r="13" spans="2:4">
      <c r="B13">
        <v>1</v>
      </c>
      <c r="C13">
        <f t="shared" si="0"/>
        <v>2.3901384261256804</v>
      </c>
      <c r="D13">
        <f t="shared" si="1"/>
        <v>1</v>
      </c>
    </row>
    <row r="14" spans="2:4">
      <c r="B14">
        <v>1.1000000000000001</v>
      </c>
      <c r="C14">
        <f t="shared" si="0"/>
        <v>2.8912895698578218</v>
      </c>
      <c r="D14">
        <f t="shared" si="1"/>
        <v>1.1000000000000001</v>
      </c>
    </row>
    <row r="15" spans="2:4">
      <c r="B15">
        <v>1.2</v>
      </c>
      <c r="C15">
        <f t="shared" si="0"/>
        <v>3.4396590552528883</v>
      </c>
      <c r="D15">
        <f t="shared" si="1"/>
        <v>1.2</v>
      </c>
    </row>
    <row r="16" spans="2:4">
      <c r="B16">
        <v>1.3</v>
      </c>
      <c r="C16">
        <f t="shared" si="0"/>
        <v>4.0349948424454514</v>
      </c>
      <c r="D16">
        <f t="shared" si="1"/>
        <v>1.3</v>
      </c>
    </row>
    <row r="17" spans="2:4">
      <c r="B17">
        <v>1.4</v>
      </c>
      <c r="C17">
        <f t="shared" si="0"/>
        <v>4.6769749581337861</v>
      </c>
      <c r="D17">
        <f t="shared" si="1"/>
        <v>1.4</v>
      </c>
    </row>
    <row r="18" spans="2:4">
      <c r="B18">
        <v>1.5</v>
      </c>
      <c r="C18">
        <f t="shared" si="0"/>
        <v>5.3651963365424242</v>
      </c>
      <c r="D18">
        <f t="shared" si="1"/>
        <v>1.5000000000000002</v>
      </c>
    </row>
    <row r="19" spans="2:4">
      <c r="B19">
        <v>1.6</v>
      </c>
      <c r="C19">
        <f t="shared" si="0"/>
        <v>6.099163264852951</v>
      </c>
      <c r="D19">
        <f t="shared" si="1"/>
        <v>1.6</v>
      </c>
    </row>
    <row r="20" spans="2:4">
      <c r="B20">
        <v>1.7</v>
      </c>
      <c r="C20">
        <f t="shared" si="0"/>
        <v>6.87827562516018</v>
      </c>
      <c r="D20">
        <f t="shared" si="1"/>
        <v>1.7</v>
      </c>
    </row>
    <row r="21" spans="2:4">
      <c r="B21">
        <v>1.8</v>
      </c>
      <c r="C21">
        <f t="shared" si="0"/>
        <v>7.7018171608809487</v>
      </c>
      <c r="D21">
        <f t="shared" si="1"/>
        <v>1.8</v>
      </c>
    </row>
    <row r="22" spans="2:4">
      <c r="B22">
        <v>1.9</v>
      </c>
      <c r="C22">
        <f t="shared" si="0"/>
        <v>8.5689440316258949</v>
      </c>
      <c r="D22">
        <f t="shared" si="1"/>
        <v>1.9</v>
      </c>
    </row>
    <row r="23" spans="2:4">
      <c r="B23">
        <v>2</v>
      </c>
      <c r="C23">
        <f t="shared" si="0"/>
        <v>9.4786739549487784</v>
      </c>
      <c r="D23">
        <f t="shared" si="1"/>
        <v>2</v>
      </c>
    </row>
    <row r="24" spans="2:4">
      <c r="B24">
        <v>2.1</v>
      </c>
      <c r="C24">
        <f t="shared" si="0"/>
        <v>10.429876263821164</v>
      </c>
      <c r="D24">
        <f t="shared" si="1"/>
        <v>2.1</v>
      </c>
    </row>
    <row r="25" spans="2:4">
      <c r="B25">
        <v>2.2000000000000002</v>
      </c>
      <c r="C25">
        <f t="shared" si="0"/>
        <v>11.421263232517134</v>
      </c>
      <c r="D25">
        <f t="shared" si="1"/>
        <v>2.2000000000000002</v>
      </c>
    </row>
    <row r="26" spans="2:4">
      <c r="B26">
        <v>2.2999999999999998</v>
      </c>
      <c r="C26">
        <f t="shared" si="0"/>
        <v>12.451383037990714</v>
      </c>
      <c r="D26">
        <f t="shared" si="1"/>
        <v>2.2999999999999998</v>
      </c>
    </row>
    <row r="27" spans="2:4">
      <c r="B27">
        <v>2.4</v>
      </c>
      <c r="C27">
        <f t="shared" si="0"/>
        <v>13.518614725907701</v>
      </c>
      <c r="D27">
        <f t="shared" si="1"/>
        <v>2.4</v>
      </c>
    </row>
    <row r="28" spans="2:4">
      <c r="B28">
        <v>2.5</v>
      </c>
      <c r="C28">
        <f t="shared" si="0"/>
        <v>14.621165537565172</v>
      </c>
      <c r="D28">
        <f t="shared" si="1"/>
        <v>2.5</v>
      </c>
    </row>
    <row r="29" spans="2:4">
      <c r="B29">
        <v>2.6</v>
      </c>
      <c r="C29">
        <f t="shared" si="0"/>
        <v>15.75707092378164</v>
      </c>
      <c r="D29">
        <f t="shared" si="1"/>
        <v>2.6</v>
      </c>
    </row>
    <row r="30" spans="2:4">
      <c r="B30">
        <v>2.7</v>
      </c>
      <c r="C30">
        <f t="shared" si="0"/>
        <v>16.92419752302742</v>
      </c>
      <c r="D30">
        <f t="shared" si="1"/>
        <v>2.7</v>
      </c>
    </row>
    <row r="31" spans="2:4">
      <c r="B31">
        <v>2.8</v>
      </c>
      <c r="C31">
        <f t="shared" si="0"/>
        <v>18.120249313222317</v>
      </c>
      <c r="D31">
        <f t="shared" si="1"/>
        <v>2.8</v>
      </c>
    </row>
    <row r="32" spans="2:4">
      <c r="B32">
        <v>2.9</v>
      </c>
      <c r="C32">
        <f t="shared" si="0"/>
        <v>19.342777060715605</v>
      </c>
      <c r="D32">
        <f t="shared" si="1"/>
        <v>2.9</v>
      </c>
    </row>
    <row r="33" spans="2:4">
      <c r="B33">
        <v>3</v>
      </c>
      <c r="C33">
        <f t="shared" si="0"/>
        <v>20.58919108843395</v>
      </c>
      <c r="D33">
        <f t="shared" si="1"/>
        <v>3</v>
      </c>
    </row>
    <row r="34" spans="2:4">
      <c r="B34">
        <v>3.1</v>
      </c>
      <c r="C34">
        <f t="shared" si="0"/>
        <v>21.856777272017318</v>
      </c>
      <c r="D34">
        <f t="shared" si="1"/>
        <v>3.1</v>
      </c>
    </row>
    <row r="35" spans="2:4">
      <c r="B35">
        <v>3.2</v>
      </c>
      <c r="C35">
        <f t="shared" si="0"/>
        <v>23.142716053347495</v>
      </c>
      <c r="D35">
        <f t="shared" si="1"/>
        <v>3.2</v>
      </c>
    </row>
    <row r="36" spans="2:4">
      <c r="B36">
        <v>3.3</v>
      </c>
      <c r="C36">
        <f t="shared" si="0"/>
        <v>24.444104141703132</v>
      </c>
      <c r="D36">
        <f t="shared" si="1"/>
        <v>3.3</v>
      </c>
    </row>
    <row r="37" spans="2:4">
      <c r="B37">
        <v>3.4</v>
      </c>
      <c r="C37">
        <f t="shared" si="0"/>
        <v>25.757978460990234</v>
      </c>
      <c r="D37">
        <f t="shared" si="1"/>
        <v>3.4</v>
      </c>
    </row>
    <row r="38" spans="2:4">
      <c r="B38">
        <v>3.5</v>
      </c>
      <c r="C38">
        <f t="shared" si="0"/>
        <v>27.081341804295974</v>
      </c>
      <c r="D38">
        <f t="shared" si="1"/>
        <v>3.5</v>
      </c>
    </row>
    <row r="39" spans="2:4">
      <c r="B39">
        <v>3.6</v>
      </c>
      <c r="C39">
        <f t="shared" si="0"/>
        <v>28.411189580998855</v>
      </c>
      <c r="D39">
        <f t="shared" si="1"/>
        <v>3.6</v>
      </c>
    </row>
    <row r="40" spans="2:4">
      <c r="B40">
        <v>3.7</v>
      </c>
      <c r="C40">
        <f t="shared" si="0"/>
        <v>29.744536992198743</v>
      </c>
      <c r="D40">
        <f t="shared" si="1"/>
        <v>3.7</v>
      </c>
    </row>
    <row r="41" spans="2:4">
      <c r="B41">
        <v>3.8</v>
      </c>
      <c r="C41">
        <f t="shared" si="0"/>
        <v>31.078445950879825</v>
      </c>
      <c r="D41">
        <f t="shared" si="1"/>
        <v>3.8</v>
      </c>
    </row>
    <row r="42" spans="2:4">
      <c r="B42">
        <v>3.9</v>
      </c>
      <c r="C42">
        <f t="shared" si="0"/>
        <v>32.410051075395444</v>
      </c>
      <c r="D42">
        <f t="shared" si="1"/>
        <v>3.9</v>
      </c>
    </row>
    <row r="43" spans="2:4">
      <c r="B43">
        <v>4</v>
      </c>
      <c r="C43">
        <f t="shared" si="0"/>
        <v>33.736584127660429</v>
      </c>
      <c r="D43">
        <f t="shared" si="1"/>
        <v>4</v>
      </c>
    </row>
    <row r="44" spans="2:4">
      <c r="B44">
        <v>4.0999999999999996</v>
      </c>
      <c r="C44">
        <f t="shared" si="0"/>
        <v>35.055396337729242</v>
      </c>
      <c r="D44">
        <f t="shared" si="1"/>
        <v>4.0999999999999996</v>
      </c>
    </row>
    <row r="45" spans="2:4">
      <c r="B45">
        <v>4.2</v>
      </c>
      <c r="C45">
        <f t="shared" si="0"/>
        <v>36.363978149214013</v>
      </c>
      <c r="D45">
        <f t="shared" si="1"/>
        <v>4.2</v>
      </c>
    </row>
    <row r="46" spans="2:4">
      <c r="B46">
        <v>4.3</v>
      </c>
      <c r="C46">
        <f t="shared" si="0"/>
        <v>37.659976028869885</v>
      </c>
      <c r="D46">
        <f t="shared" si="1"/>
        <v>4.3</v>
      </c>
    </row>
    <row r="47" spans="2:4">
      <c r="B47">
        <v>4.4000000000000004</v>
      </c>
      <c r="C47">
        <f t="shared" si="0"/>
        <v>38.94120610151554</v>
      </c>
      <c r="D47">
        <f t="shared" si="1"/>
        <v>4.4000000000000004</v>
      </c>
    </row>
    <row r="48" spans="2:4">
      <c r="B48">
        <v>4.5</v>
      </c>
      <c r="C48">
        <f t="shared" si="0"/>
        <v>40.2056644910503</v>
      </c>
      <c r="D48">
        <f t="shared" si="1"/>
        <v>4.5</v>
      </c>
    </row>
    <row r="49" spans="2:4">
      <c r="B49">
        <v>4.5999999999999996</v>
      </c>
      <c r="C49">
        <f t="shared" si="0"/>
        <v>41.451534362987609</v>
      </c>
      <c r="D49">
        <f t="shared" si="1"/>
        <v>4.5999999999999996</v>
      </c>
    </row>
    <row r="50" spans="2:4">
      <c r="B50">
        <v>4.7</v>
      </c>
      <c r="C50">
        <f t="shared" si="0"/>
        <v>42.677189767975364</v>
      </c>
      <c r="D50">
        <f t="shared" si="1"/>
        <v>4.7000000000000011</v>
      </c>
    </row>
    <row r="51" spans="2:4">
      <c r="B51">
        <v>4.8</v>
      </c>
      <c r="C51">
        <f t="shared" si="0"/>
        <v>43.881196474903959</v>
      </c>
      <c r="D51">
        <f t="shared" si="1"/>
        <v>4.8</v>
      </c>
    </row>
    <row r="52" spans="2:4">
      <c r="B52">
        <v>4.9000000000000004</v>
      </c>
      <c r="C52">
        <f t="shared" si="0"/>
        <v>45.062310053609281</v>
      </c>
      <c r="D52">
        <f t="shared" si="1"/>
        <v>4.9000000000000004</v>
      </c>
    </row>
    <row r="53" spans="2:4">
      <c r="B53">
        <v>5</v>
      </c>
      <c r="C53">
        <f t="shared" si="0"/>
        <v>46.219471519573801</v>
      </c>
      <c r="D53">
        <f t="shared" si="1"/>
        <v>5</v>
      </c>
    </row>
    <row r="54" spans="2:4">
      <c r="B54">
        <v>5.0999999999999996</v>
      </c>
      <c r="C54">
        <f t="shared" si="0"/>
        <v>47.351800886498978</v>
      </c>
      <c r="D54">
        <f t="shared" si="1"/>
        <v>5.0999999999999996</v>
      </c>
    </row>
    <row r="55" spans="2:4">
      <c r="B55">
        <v>5.2</v>
      </c>
      <c r="C55">
        <f t="shared" si="0"/>
        <v>48.458588988382367</v>
      </c>
      <c r="D55">
        <f t="shared" si="1"/>
        <v>5.2</v>
      </c>
    </row>
    <row r="56" spans="2:4">
      <c r="B56">
        <v>5.3</v>
      </c>
      <c r="C56">
        <f t="shared" si="0"/>
        <v>49.539287932846065</v>
      </c>
      <c r="D56">
        <f t="shared" si="1"/>
        <v>5.3</v>
      </c>
    </row>
    <row r="57" spans="2:4">
      <c r="B57">
        <v>5.4</v>
      </c>
      <c r="C57">
        <f t="shared" si="0"/>
        <v>50.593500534526875</v>
      </c>
      <c r="D57">
        <f t="shared" si="1"/>
        <v>5.4</v>
      </c>
    </row>
    <row r="58" spans="2:4">
      <c r="B58">
        <v>5.5</v>
      </c>
      <c r="C58">
        <f t="shared" si="0"/>
        <v>51.620969054202554</v>
      </c>
      <c r="D58">
        <f t="shared" si="1"/>
        <v>5.5</v>
      </c>
    </row>
    <row r="59" spans="2:4">
      <c r="B59">
        <v>5.6</v>
      </c>
      <c r="C59">
        <f t="shared" si="0"/>
        <v>52.621563538852129</v>
      </c>
      <c r="D59">
        <f t="shared" si="1"/>
        <v>5.6</v>
      </c>
    </row>
    <row r="60" spans="2:4">
      <c r="B60">
        <v>5.7</v>
      </c>
      <c r="C60">
        <f t="shared" si="0"/>
        <v>53.595270022706231</v>
      </c>
      <c r="D60">
        <f t="shared" si="1"/>
        <v>5.7</v>
      </c>
    </row>
    <row r="61" spans="2:4">
      <c r="B61">
        <v>5.8</v>
      </c>
      <c r="C61">
        <f t="shared" si="0"/>
        <v>54.542178811902794</v>
      </c>
      <c r="D61">
        <f t="shared" si="1"/>
        <v>5.8</v>
      </c>
    </row>
    <row r="62" spans="2:4">
      <c r="B62">
        <v>5.9</v>
      </c>
      <c r="C62">
        <f t="shared" si="0"/>
        <v>55.462473037600056</v>
      </c>
      <c r="D62">
        <f t="shared" si="1"/>
        <v>5.9</v>
      </c>
    </row>
    <row r="63" spans="2:4">
      <c r="B63">
        <v>6</v>
      </c>
      <c r="C63">
        <f t="shared" si="0"/>
        <v>56.356417625873945</v>
      </c>
      <c r="D63">
        <f t="shared" si="1"/>
        <v>6</v>
      </c>
    </row>
    <row r="64" spans="2:4">
      <c r="B64">
        <v>6.1</v>
      </c>
      <c r="C64">
        <f t="shared" si="0"/>
        <v>57.22434879859312</v>
      </c>
      <c r="D64">
        <f t="shared" si="1"/>
        <v>6.1</v>
      </c>
    </row>
    <row r="65" spans="2:4">
      <c r="B65">
        <v>6.2</v>
      </c>
      <c r="C65">
        <f t="shared" si="0"/>
        <v>58.066664188500717</v>
      </c>
      <c r="D65">
        <f t="shared" si="1"/>
        <v>6.2</v>
      </c>
    </row>
    <row r="66" spans="2:4">
      <c r="B66">
        <v>6.3</v>
      </c>
      <c r="C66">
        <f t="shared" si="0"/>
        <v>58.883813624389539</v>
      </c>
      <c r="D66">
        <f t="shared" si="1"/>
        <v>6.3000000000000007</v>
      </c>
    </row>
    <row r="67" spans="2:4">
      <c r="B67">
        <v>6.4</v>
      </c>
      <c r="C67">
        <f t="shared" si="0"/>
        <v>59.67629061872519</v>
      </c>
      <c r="D67">
        <f t="shared" si="1"/>
        <v>6.4</v>
      </c>
    </row>
    <row r="68" spans="2:4">
      <c r="B68">
        <v>6.5</v>
      </c>
      <c r="C68">
        <f t="shared" ref="C68:C131" si="2">DEGREES(ATAN($C$2*B68^2))</f>
        <v>60.444624570326937</v>
      </c>
      <c r="D68">
        <f t="shared" si="1"/>
        <v>6.4999999999999991</v>
      </c>
    </row>
    <row r="69" spans="2:4">
      <c r="B69">
        <v>6.6</v>
      </c>
      <c r="C69">
        <f t="shared" si="2"/>
        <v>61.189373678584154</v>
      </c>
      <c r="D69">
        <f t="shared" ref="D69:D131" si="3">SQRT(TAN(RADIANS(C69))/$C$2)</f>
        <v>6.6</v>
      </c>
    </row>
    <row r="70" spans="2:4">
      <c r="B70">
        <v>6.7</v>
      </c>
      <c r="C70">
        <f t="shared" si="2"/>
        <v>61.911118552888134</v>
      </c>
      <c r="D70">
        <f t="shared" si="3"/>
        <v>6.7</v>
      </c>
    </row>
    <row r="71" spans="2:4">
      <c r="B71">
        <v>6.8</v>
      </c>
      <c r="C71">
        <f t="shared" si="2"/>
        <v>62.610456491152206</v>
      </c>
      <c r="D71">
        <f t="shared" si="3"/>
        <v>6.8</v>
      </c>
    </row>
    <row r="72" spans="2:4">
      <c r="B72">
        <v>6.9</v>
      </c>
      <c r="C72">
        <f t="shared" si="2"/>
        <v>63.287996394104319</v>
      </c>
      <c r="D72">
        <f t="shared" si="3"/>
        <v>6.9000000000000012</v>
      </c>
    </row>
    <row r="73" spans="2:4">
      <c r="B73">
        <v>7</v>
      </c>
      <c r="C73">
        <f t="shared" si="2"/>
        <v>63.944354277087427</v>
      </c>
      <c r="D73">
        <f t="shared" si="3"/>
        <v>6.9999999999999991</v>
      </c>
    </row>
    <row r="74" spans="2:4">
      <c r="B74">
        <v>7.1</v>
      </c>
      <c r="C74">
        <f t="shared" si="2"/>
        <v>64.580149338028974</v>
      </c>
      <c r="D74">
        <f t="shared" si="3"/>
        <v>7.1000000000000005</v>
      </c>
    </row>
    <row r="75" spans="2:4">
      <c r="B75">
        <v>7.2</v>
      </c>
      <c r="C75">
        <f t="shared" si="2"/>
        <v>65.196000538700446</v>
      </c>
      <c r="D75">
        <f t="shared" si="3"/>
        <v>7.2</v>
      </c>
    </row>
    <row r="76" spans="2:4">
      <c r="B76">
        <v>7.3</v>
      </c>
      <c r="C76">
        <f t="shared" si="2"/>
        <v>65.79252365607492</v>
      </c>
      <c r="D76">
        <f t="shared" si="3"/>
        <v>7.3000000000000007</v>
      </c>
    </row>
    <row r="77" spans="2:4">
      <c r="B77">
        <v>7.4</v>
      </c>
      <c r="C77">
        <f t="shared" si="2"/>
        <v>66.370328761231434</v>
      </c>
      <c r="D77">
        <f t="shared" si="3"/>
        <v>7.4000000000000012</v>
      </c>
    </row>
    <row r="78" spans="2:4">
      <c r="B78">
        <v>7.5</v>
      </c>
      <c r="C78">
        <f t="shared" si="2"/>
        <v>66.930018084617174</v>
      </c>
      <c r="D78">
        <f t="shared" si="3"/>
        <v>7.5000000000000018</v>
      </c>
    </row>
    <row r="79" spans="2:4">
      <c r="B79">
        <v>7.6</v>
      </c>
      <c r="C79">
        <f t="shared" si="2"/>
        <v>67.472184228361968</v>
      </c>
      <c r="D79">
        <f t="shared" si="3"/>
        <v>7.6</v>
      </c>
    </row>
    <row r="80" spans="2:4">
      <c r="B80">
        <v>7.7</v>
      </c>
      <c r="C80">
        <f t="shared" si="2"/>
        <v>67.997408688580904</v>
      </c>
      <c r="D80">
        <f t="shared" si="3"/>
        <v>7.6999999999999993</v>
      </c>
    </row>
    <row r="81" spans="2:4">
      <c r="B81">
        <v>7.8</v>
      </c>
      <c r="C81">
        <f t="shared" si="2"/>
        <v>68.506260653064402</v>
      </c>
      <c r="D81">
        <f t="shared" si="3"/>
        <v>7.8000000000000034</v>
      </c>
    </row>
    <row r="82" spans="2:4">
      <c r="B82">
        <v>7.9</v>
      </c>
      <c r="C82">
        <f t="shared" si="2"/>
        <v>68.999296042334976</v>
      </c>
      <c r="D82">
        <f t="shared" si="3"/>
        <v>7.8999999999999995</v>
      </c>
    </row>
    <row r="83" spans="2:4">
      <c r="B83">
        <v>8</v>
      </c>
      <c r="C83">
        <f t="shared" si="2"/>
        <v>69.477056764661157</v>
      </c>
      <c r="D83">
        <f t="shared" si="3"/>
        <v>8</v>
      </c>
    </row>
    <row r="84" spans="2:4">
      <c r="B84">
        <v>8.1</v>
      </c>
      <c r="C84">
        <f t="shared" si="2"/>
        <v>69.940070158197713</v>
      </c>
      <c r="D84">
        <f t="shared" si="3"/>
        <v>8.1000000000000014</v>
      </c>
    </row>
    <row r="85" spans="2:4">
      <c r="B85">
        <v>8.1999999999999993</v>
      </c>
      <c r="C85">
        <f t="shared" si="2"/>
        <v>70.38884859592136</v>
      </c>
      <c r="D85">
        <f t="shared" si="3"/>
        <v>8.1999999999999993</v>
      </c>
    </row>
    <row r="86" spans="2:4">
      <c r="B86">
        <v>8.3000000000000096</v>
      </c>
      <c r="C86">
        <f t="shared" si="2"/>
        <v>70.823889231416942</v>
      </c>
      <c r="D86">
        <f t="shared" si="3"/>
        <v>8.3000000000000131</v>
      </c>
    </row>
    <row r="87" spans="2:4">
      <c r="B87">
        <v>8.4</v>
      </c>
      <c r="C87">
        <f t="shared" si="2"/>
        <v>71.245673865818787</v>
      </c>
      <c r="D87">
        <f t="shared" si="3"/>
        <v>8.4</v>
      </c>
    </row>
    <row r="88" spans="2:4">
      <c r="B88">
        <v>8.5</v>
      </c>
      <c r="C88">
        <f t="shared" si="2"/>
        <v>71.654668918314272</v>
      </c>
      <c r="D88">
        <f t="shared" si="3"/>
        <v>8.5</v>
      </c>
    </row>
    <row r="89" spans="2:4">
      <c r="B89">
        <v>8.6000000000000103</v>
      </c>
      <c r="C89">
        <f t="shared" si="2"/>
        <v>72.051325484557623</v>
      </c>
      <c r="D89">
        <f t="shared" si="3"/>
        <v>8.6000000000000085</v>
      </c>
    </row>
    <row r="90" spans="2:4">
      <c r="B90">
        <v>8.7000000000000099</v>
      </c>
      <c r="C90">
        <f t="shared" si="2"/>
        <v>72.436079469130803</v>
      </c>
      <c r="D90">
        <f t="shared" si="3"/>
        <v>8.7000000000000117</v>
      </c>
    </row>
    <row r="91" spans="2:4">
      <c r="B91">
        <v>8.8000000000000096</v>
      </c>
      <c r="C91">
        <f t="shared" si="2"/>
        <v>72.809351779816552</v>
      </c>
      <c r="D91">
        <f t="shared" si="3"/>
        <v>8.8000000000000096</v>
      </c>
    </row>
    <row r="92" spans="2:4">
      <c r="B92">
        <v>8.9</v>
      </c>
      <c r="C92">
        <f t="shared" si="2"/>
        <v>73.17154857292806</v>
      </c>
      <c r="D92">
        <f t="shared" si="3"/>
        <v>8.8999999999999986</v>
      </c>
    </row>
    <row r="93" spans="2:4">
      <c r="B93">
        <v>9.0000000000000107</v>
      </c>
      <c r="C93">
        <f t="shared" si="2"/>
        <v>73.523061540276032</v>
      </c>
      <c r="D93">
        <f t="shared" si="3"/>
        <v>9.0000000000000142</v>
      </c>
    </row>
    <row r="94" spans="2:4">
      <c r="B94">
        <v>9.1000000000000192</v>
      </c>
      <c r="C94">
        <f t="shared" si="2"/>
        <v>73.864268229554</v>
      </c>
      <c r="D94">
        <f t="shared" si="3"/>
        <v>9.1000000000000174</v>
      </c>
    </row>
    <row r="95" spans="2:4">
      <c r="B95">
        <v>9.2000000000000295</v>
      </c>
      <c r="C95">
        <f t="shared" si="2"/>
        <v>74.195532390999304</v>
      </c>
      <c r="D95">
        <f t="shared" si="3"/>
        <v>9.2000000000000295</v>
      </c>
    </row>
    <row r="96" spans="2:4">
      <c r="B96">
        <v>9.3000000000000398</v>
      </c>
      <c r="C96">
        <f t="shared" si="2"/>
        <v>74.51720434414365</v>
      </c>
      <c r="D96">
        <f t="shared" si="3"/>
        <v>9.300000000000038</v>
      </c>
    </row>
    <row r="97" spans="2:4">
      <c r="B97">
        <v>9.4000000000000501</v>
      </c>
      <c r="C97">
        <f t="shared" si="2"/>
        <v>74.829621359321834</v>
      </c>
      <c r="D97">
        <f t="shared" si="3"/>
        <v>9.4000000000000483</v>
      </c>
    </row>
    <row r="98" spans="2:4">
      <c r="B98">
        <v>9.5000000000000604</v>
      </c>
      <c r="C98">
        <f t="shared" si="2"/>
        <v>75.133108049360686</v>
      </c>
      <c r="D98">
        <f t="shared" si="3"/>
        <v>9.5000000000000622</v>
      </c>
    </row>
    <row r="99" spans="2:4">
      <c r="B99">
        <v>9.6000000000000707</v>
      </c>
      <c r="C99">
        <f t="shared" si="2"/>
        <v>75.427976767538055</v>
      </c>
      <c r="D99">
        <f t="shared" si="3"/>
        <v>9.6000000000000707</v>
      </c>
    </row>
    <row r="100" spans="2:4">
      <c r="B100">
        <v>9.7000000000000792</v>
      </c>
      <c r="C100">
        <f t="shared" si="2"/>
        <v>75.714528008488912</v>
      </c>
      <c r="D100">
        <f t="shared" si="3"/>
        <v>9.7000000000000774</v>
      </c>
    </row>
    <row r="101" spans="2:4">
      <c r="B101">
        <v>9.8000000000000895</v>
      </c>
      <c r="C101">
        <f t="shared" si="2"/>
        <v>75.993050809251301</v>
      </c>
      <c r="D101">
        <f t="shared" si="3"/>
        <v>9.8000000000000895</v>
      </c>
    </row>
    <row r="102" spans="2:4">
      <c r="B102">
        <v>9.9000000000000998</v>
      </c>
      <c r="C102">
        <f t="shared" si="2"/>
        <v>76.263823148096989</v>
      </c>
      <c r="D102">
        <f t="shared" si="3"/>
        <v>9.9000000000000963</v>
      </c>
    </row>
    <row r="103" spans="2:4">
      <c r="B103">
        <v>10.000000000000099</v>
      </c>
      <c r="C103">
        <f t="shared" si="2"/>
        <v>76.52711233918609</v>
      </c>
      <c r="D103">
        <f t="shared" si="3"/>
        <v>10.000000000000107</v>
      </c>
    </row>
    <row r="104" spans="2:4">
      <c r="B104">
        <v>10.100000000000099</v>
      </c>
      <c r="C104">
        <f t="shared" si="2"/>
        <v>76.783175421428723</v>
      </c>
      <c r="D104">
        <f t="shared" si="3"/>
        <v>10.100000000000099</v>
      </c>
    </row>
    <row r="105" spans="2:4">
      <c r="B105">
        <v>10.200000000000101</v>
      </c>
      <c r="C105">
        <f t="shared" si="2"/>
        <v>77.032259540235316</v>
      </c>
      <c r="D105">
        <f t="shared" si="3"/>
        <v>10.200000000000108</v>
      </c>
    </row>
    <row r="106" spans="2:4">
      <c r="B106">
        <v>10.3000000000001</v>
      </c>
      <c r="C106">
        <f t="shared" si="2"/>
        <v>77.274602321095344</v>
      </c>
      <c r="D106">
        <f t="shared" si="3"/>
        <v>10.300000000000098</v>
      </c>
    </row>
    <row r="107" spans="2:4">
      <c r="B107">
        <v>10.400000000000199</v>
      </c>
      <c r="C107">
        <f t="shared" si="2"/>
        <v>77.510432234148894</v>
      </c>
      <c r="D107">
        <f t="shared" si="3"/>
        <v>10.400000000000199</v>
      </c>
    </row>
    <row r="108" spans="2:4">
      <c r="B108">
        <v>10.500000000000201</v>
      </c>
      <c r="C108">
        <f t="shared" si="2"/>
        <v>77.739968949103996</v>
      </c>
      <c r="D108">
        <f t="shared" si="3"/>
        <v>10.500000000000208</v>
      </c>
    </row>
    <row r="109" spans="2:4">
      <c r="B109">
        <v>10.6000000000002</v>
      </c>
      <c r="C109">
        <f t="shared" si="2"/>
        <v>77.963423680024505</v>
      </c>
      <c r="D109">
        <f t="shared" si="3"/>
        <v>10.600000000000202</v>
      </c>
    </row>
    <row r="110" spans="2:4">
      <c r="B110">
        <v>10.7000000000002</v>
      </c>
      <c r="C110">
        <f t="shared" si="2"/>
        <v>78.180999519644161</v>
      </c>
      <c r="D110">
        <f t="shared" si="3"/>
        <v>10.700000000000198</v>
      </c>
    </row>
    <row r="111" spans="2:4">
      <c r="B111">
        <v>10.8000000000002</v>
      </c>
      <c r="C111">
        <f t="shared" si="2"/>
        <v>78.392891762991297</v>
      </c>
      <c r="D111">
        <f t="shared" si="3"/>
        <v>10.800000000000198</v>
      </c>
    </row>
    <row r="112" spans="2:4">
      <c r="B112">
        <v>10.900000000000199</v>
      </c>
      <c r="C112">
        <f t="shared" si="2"/>
        <v>78.599288220204812</v>
      </c>
      <c r="D112">
        <f t="shared" si="3"/>
        <v>10.900000000000205</v>
      </c>
    </row>
    <row r="113" spans="2:4">
      <c r="B113">
        <v>11.000000000000201</v>
      </c>
      <c r="C113">
        <f t="shared" si="2"/>
        <v>78.800369518509257</v>
      </c>
      <c r="D113">
        <f t="shared" si="3"/>
        <v>11.000000000000199</v>
      </c>
    </row>
    <row r="114" spans="2:4">
      <c r="B114">
        <v>11.1000000000002</v>
      </c>
      <c r="C114">
        <f t="shared" si="2"/>
        <v>78.996309393387875</v>
      </c>
      <c r="D114">
        <f t="shared" si="3"/>
        <v>11.100000000000202</v>
      </c>
    </row>
    <row r="115" spans="2:4">
      <c r="B115">
        <v>11.2000000000002</v>
      </c>
      <c r="C115">
        <f t="shared" si="2"/>
        <v>79.187274969051728</v>
      </c>
      <c r="D115">
        <f t="shared" si="3"/>
        <v>11.200000000000202</v>
      </c>
    </row>
    <row r="116" spans="2:4">
      <c r="B116">
        <v>11.3000000000002</v>
      </c>
      <c r="C116">
        <f t="shared" si="2"/>
        <v>79.373427028352296</v>
      </c>
      <c r="D116">
        <f t="shared" si="3"/>
        <v>11.300000000000201</v>
      </c>
    </row>
    <row r="117" spans="2:4">
      <c r="B117">
        <v>11.400000000000301</v>
      </c>
      <c r="C117">
        <f t="shared" si="2"/>
        <v>79.554920272324509</v>
      </c>
      <c r="D117">
        <f t="shared" si="3"/>
        <v>11.400000000000299</v>
      </c>
    </row>
    <row r="118" spans="2:4">
      <c r="B118">
        <v>11.5000000000003</v>
      </c>
      <c r="C118">
        <f t="shared" si="2"/>
        <v>79.731903569578165</v>
      </c>
      <c r="D118">
        <f t="shared" si="3"/>
        <v>11.500000000000302</v>
      </c>
    </row>
    <row r="119" spans="2:4">
      <c r="B119">
        <v>11.6000000000003</v>
      </c>
      <c r="C119">
        <f t="shared" si="2"/>
        <v>79.904520195784443</v>
      </c>
      <c r="D119">
        <f t="shared" si="3"/>
        <v>11.600000000000298</v>
      </c>
    </row>
    <row r="120" spans="2:4">
      <c r="B120">
        <v>11.700000000000299</v>
      </c>
      <c r="C120">
        <f t="shared" si="2"/>
        <v>80.072908063517986</v>
      </c>
      <c r="D120">
        <f t="shared" si="3"/>
        <v>11.700000000000298</v>
      </c>
    </row>
    <row r="121" spans="2:4">
      <c r="B121">
        <v>11.800000000000299</v>
      </c>
      <c r="C121">
        <f t="shared" si="2"/>
        <v>80.237199942735216</v>
      </c>
      <c r="D121">
        <f t="shared" si="3"/>
        <v>11.800000000000303</v>
      </c>
    </row>
    <row r="122" spans="2:4">
      <c r="B122">
        <v>11.900000000000301</v>
      </c>
      <c r="C122">
        <f t="shared" si="2"/>
        <v>80.397523672176675</v>
      </c>
      <c r="D122">
        <f t="shared" si="3"/>
        <v>11.900000000000299</v>
      </c>
    </row>
    <row r="123" spans="2:4">
      <c r="B123">
        <v>12.0000000000003</v>
      </c>
      <c r="C123">
        <f t="shared" si="2"/>
        <v>80.554002361989163</v>
      </c>
      <c r="D123">
        <f t="shared" si="3"/>
        <v>12.000000000000298</v>
      </c>
    </row>
    <row r="124" spans="2:4">
      <c r="B124">
        <v>12.1000000000003</v>
      </c>
      <c r="C124">
        <f t="shared" si="2"/>
        <v>80.70675458786684</v>
      </c>
      <c r="D124">
        <f t="shared" si="3"/>
        <v>12.100000000000296</v>
      </c>
    </row>
    <row r="125" spans="2:4">
      <c r="B125">
        <v>12.200000000000299</v>
      </c>
      <c r="C125">
        <f t="shared" si="2"/>
        <v>80.855894577012037</v>
      </c>
      <c r="D125">
        <f t="shared" si="3"/>
        <v>12.200000000000301</v>
      </c>
    </row>
    <row r="126" spans="2:4">
      <c r="B126">
        <v>12.3000000000004</v>
      </c>
      <c r="C126">
        <f t="shared" si="2"/>
        <v>81.001532386215843</v>
      </c>
      <c r="D126">
        <f t="shared" si="3"/>
        <v>12.300000000000402</v>
      </c>
    </row>
    <row r="127" spans="2:4">
      <c r="B127">
        <v>12.4000000000004</v>
      </c>
      <c r="C127">
        <f t="shared" si="2"/>
        <v>81.143774072354674</v>
      </c>
      <c r="D127">
        <f t="shared" si="3"/>
        <v>12.400000000000396</v>
      </c>
    </row>
    <row r="128" spans="2:4">
      <c r="B128">
        <v>12.5000000000004</v>
      </c>
      <c r="C128">
        <f t="shared" si="2"/>
        <v>81.282721855598481</v>
      </c>
      <c r="D128">
        <f t="shared" si="3"/>
        <v>12.500000000000396</v>
      </c>
    </row>
    <row r="129" spans="2:4">
      <c r="B129">
        <v>12.600000000000399</v>
      </c>
      <c r="C129">
        <f t="shared" si="2"/>
        <v>81.41847427561558</v>
      </c>
      <c r="D129">
        <f t="shared" si="3"/>
        <v>12.600000000000396</v>
      </c>
    </row>
    <row r="130" spans="2:4">
      <c r="B130">
        <v>12.700000000000401</v>
      </c>
      <c r="C130">
        <f t="shared" si="2"/>
        <v>81.551126341058307</v>
      </c>
      <c r="D130">
        <f t="shared" si="3"/>
        <v>12.700000000000404</v>
      </c>
    </row>
    <row r="131" spans="2:4">
      <c r="B131">
        <v>12.8000000000004</v>
      </c>
      <c r="C131">
        <f t="shared" si="2"/>
        <v>81.680769672603915</v>
      </c>
      <c r="D131">
        <f t="shared" si="3"/>
        <v>12.800000000000402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naoto hirabayashi</dc:creator>
  <cp:lastModifiedBy>naoto hirabayashi</cp:lastModifiedBy>
  <dcterms:created xsi:type="dcterms:W3CDTF">2015-06-05T18:19:34Z</dcterms:created>
  <dcterms:modified xsi:type="dcterms:W3CDTF">2026-01-06T13:23:17Z</dcterms:modified>
</cp:coreProperties>
</file>