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irar\Documents\Git\GBA\02_Hardware\V1.0\01_筐体\"/>
    </mc:Choice>
  </mc:AlternateContent>
  <xr:revisionPtr revIDLastSave="0" documentId="13_ncr:1_{BD93801A-AA49-4F6F-83E7-871EC016D01F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4" i="2" l="1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3" i="2"/>
  <c r="F20" i="1"/>
  <c r="D14" i="1"/>
  <c r="E14" i="1"/>
  <c r="F14" i="1"/>
  <c r="C14" i="1"/>
  <c r="E6" i="1"/>
  <c r="D6" i="1"/>
  <c r="E2" i="1"/>
  <c r="E4" i="1" s="1"/>
  <c r="E11" i="1"/>
  <c r="E7" i="1"/>
  <c r="E5" i="1"/>
  <c r="D2" i="1"/>
  <c r="D4" i="1" s="1"/>
  <c r="F11" i="1"/>
  <c r="F7" i="1"/>
  <c r="F4" i="1"/>
  <c r="D7" i="1"/>
  <c r="D11" i="1"/>
  <c r="D5" i="1"/>
  <c r="C7" i="1"/>
  <c r="C4" i="1"/>
  <c r="C11" i="1"/>
  <c r="F8" i="1" l="1"/>
  <c r="F9" i="1" s="1"/>
  <c r="F12" i="1" s="1"/>
  <c r="F13" i="1" s="1"/>
  <c r="E8" i="1"/>
  <c r="D8" i="1"/>
  <c r="D9" i="1" s="1"/>
  <c r="C8" i="1"/>
  <c r="E9" i="1" l="1"/>
  <c r="E12" i="1" s="1"/>
  <c r="E20" i="1" s="1"/>
  <c r="D12" i="1"/>
  <c r="D20" i="1" s="1"/>
  <c r="C9" i="1"/>
  <c r="C12" i="1" s="1"/>
  <c r="C20" i="1" s="1"/>
  <c r="E13" i="1" l="1"/>
  <c r="C13" i="1"/>
  <c r="D13" i="1"/>
</calcChain>
</file>

<file path=xl/sharedStrings.xml><?xml version="1.0" encoding="utf-8"?>
<sst xmlns="http://schemas.openxmlformats.org/spreadsheetml/2006/main" count="39" uniqueCount="39">
  <si>
    <t>V0.0</t>
    <phoneticPr fontId="1"/>
  </si>
  <si>
    <t>球の質量[kg]</t>
    <rPh sb="0" eb="1">
      <t>キュウ</t>
    </rPh>
    <rPh sb="2" eb="4">
      <t>シツリョウ</t>
    </rPh>
    <phoneticPr fontId="1"/>
  </si>
  <si>
    <t>錘の質量[kg]</t>
    <rPh sb="0" eb="1">
      <t>オモリ</t>
    </rPh>
    <rPh sb="2" eb="4">
      <t>シツリョウ</t>
    </rPh>
    <phoneticPr fontId="1"/>
  </si>
  <si>
    <t>支柱から球までの距離[m]</t>
    <rPh sb="0" eb="2">
      <t>シチュウ</t>
    </rPh>
    <rPh sb="4" eb="5">
      <t>キュウ</t>
    </rPh>
    <rPh sb="8" eb="10">
      <t>キョリ</t>
    </rPh>
    <phoneticPr fontId="1"/>
  </si>
  <si>
    <t>支柱から錘までの距離[m]</t>
    <rPh sb="0" eb="2">
      <t>シチュウ</t>
    </rPh>
    <rPh sb="4" eb="5">
      <t>オモリ</t>
    </rPh>
    <rPh sb="8" eb="10">
      <t>キョリ</t>
    </rPh>
    <phoneticPr fontId="1"/>
  </si>
  <si>
    <t>球の半径[m]</t>
    <rPh sb="0" eb="1">
      <t>キュウ</t>
    </rPh>
    <rPh sb="2" eb="4">
      <t>ハン</t>
    </rPh>
    <phoneticPr fontId="1"/>
  </si>
  <si>
    <t>球の面積[m^2]</t>
    <rPh sb="0" eb="1">
      <t>キュウ</t>
    </rPh>
    <rPh sb="2" eb="4">
      <t>メ</t>
    </rPh>
    <phoneticPr fontId="1"/>
  </si>
  <si>
    <t>重心位置[m]</t>
    <rPh sb="0" eb="4">
      <t>ジュウシンイチ</t>
    </rPh>
    <phoneticPr fontId="1"/>
  </si>
  <si>
    <t>等価質量[kg]</t>
    <rPh sb="0" eb="2">
      <t>トウカ</t>
    </rPh>
    <rPh sb="2" eb="4">
      <t>シツリョウ</t>
    </rPh>
    <phoneticPr fontId="1"/>
  </si>
  <si>
    <t>ロッド重心位置[m]</t>
    <rPh sb="3" eb="5">
      <t>ジュウシン</t>
    </rPh>
    <rPh sb="5" eb="7">
      <t>イチ</t>
    </rPh>
    <phoneticPr fontId="1"/>
  </si>
  <si>
    <t>ロッドの質量[kg]</t>
    <rPh sb="4" eb="6">
      <t>シツリョウ</t>
    </rPh>
    <phoneticPr fontId="1"/>
  </si>
  <si>
    <t>角度からの換算係数</t>
    <rPh sb="0" eb="2">
      <t>カクド</t>
    </rPh>
    <rPh sb="5" eb="7">
      <t>カンサン</t>
    </rPh>
    <rPh sb="7" eb="9">
      <t>ケイスウ</t>
    </rPh>
    <phoneticPr fontId="1"/>
  </si>
  <si>
    <t>l_b</t>
    <phoneticPr fontId="1"/>
  </si>
  <si>
    <t>l_w</t>
    <phoneticPr fontId="1"/>
  </si>
  <si>
    <t>l_l</t>
    <phoneticPr fontId="1"/>
  </si>
  <si>
    <t>m_b</t>
    <phoneticPr fontId="1"/>
  </si>
  <si>
    <t>m_w</t>
    <phoneticPr fontId="1"/>
  </si>
  <si>
    <t>m_l</t>
    <phoneticPr fontId="1"/>
  </si>
  <si>
    <t>m</t>
    <phoneticPr fontId="1"/>
  </si>
  <si>
    <t>lg</t>
    <phoneticPr fontId="1"/>
  </si>
  <si>
    <t>r</t>
    <phoneticPr fontId="1"/>
  </si>
  <si>
    <t>S</t>
    <phoneticPr fontId="1"/>
  </si>
  <si>
    <t>f</t>
    <phoneticPr fontId="1"/>
  </si>
  <si>
    <t>f/S</t>
    <phoneticPr fontId="1"/>
  </si>
  <si>
    <t>test</t>
    <phoneticPr fontId="1"/>
  </si>
  <si>
    <t>流速[m/s]</t>
    <rPh sb="0" eb="2">
      <t>リュウソク</t>
    </rPh>
    <phoneticPr fontId="1"/>
  </si>
  <si>
    <t>U</t>
    <phoneticPr fontId="1"/>
  </si>
  <si>
    <t>Cd</t>
    <phoneticPr fontId="1"/>
  </si>
  <si>
    <t>抗力係数</t>
    <rPh sb="0" eb="4">
      <t>コウリョクケイスウ</t>
    </rPh>
    <phoneticPr fontId="1"/>
  </si>
  <si>
    <t>大気密度[kg/m^3]</t>
    <rPh sb="0" eb="2">
      <t>タイキ</t>
    </rPh>
    <rPh sb="2" eb="4">
      <t>ミツド</t>
    </rPh>
    <phoneticPr fontId="1"/>
  </si>
  <si>
    <t>ρ</t>
    <phoneticPr fontId="1"/>
  </si>
  <si>
    <t>θ</t>
    <phoneticPr fontId="1"/>
  </si>
  <si>
    <t>角度[deg]</t>
    <rPh sb="0" eb="2">
      <t>カクド</t>
    </rPh>
    <phoneticPr fontId="1"/>
  </si>
  <si>
    <t>g</t>
    <phoneticPr fontId="1"/>
  </si>
  <si>
    <t>重力加速度[m/s^2]</t>
    <rPh sb="0" eb="2">
      <t>ジュウリョク</t>
    </rPh>
    <rPh sb="2" eb="5">
      <t>カソクド</t>
    </rPh>
    <phoneticPr fontId="1"/>
  </si>
  <si>
    <t>V1.0-Light</t>
    <phoneticPr fontId="1"/>
  </si>
  <si>
    <t>V1.0-Def</t>
    <phoneticPr fontId="1"/>
  </si>
  <si>
    <t xml:space="preserve">k </t>
    <phoneticPr fontId="1"/>
  </si>
  <si>
    <t>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</si>
</sst>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Sheet2!$B$3:$B$131</c:f>
              <c:numCache>
                <c:formatCode>General</c:formatCode>
                <c:ptCount val="1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8.3000000000000096</c:v>
                </c:pt>
                <c:pt idx="84">
                  <c:v>8.4</c:v>
                </c:pt>
                <c:pt idx="85">
                  <c:v>8.5</c:v>
                </c:pt>
                <c:pt idx="86">
                  <c:v>8.6000000000000103</c:v>
                </c:pt>
                <c:pt idx="87">
                  <c:v>8.7000000000000099</c:v>
                </c:pt>
                <c:pt idx="88">
                  <c:v>8.8000000000000096</c:v>
                </c:pt>
                <c:pt idx="89">
                  <c:v>8.9</c:v>
                </c:pt>
                <c:pt idx="90">
                  <c:v>9.0000000000000107</c:v>
                </c:pt>
                <c:pt idx="91">
                  <c:v>9.1000000000000192</c:v>
                </c:pt>
                <c:pt idx="92">
                  <c:v>9.2000000000000295</c:v>
                </c:pt>
                <c:pt idx="93">
                  <c:v>9.3000000000000398</c:v>
                </c:pt>
                <c:pt idx="94">
                  <c:v>9.4000000000000501</c:v>
                </c:pt>
                <c:pt idx="95">
                  <c:v>9.5000000000000604</c:v>
                </c:pt>
                <c:pt idx="96">
                  <c:v>9.6000000000000707</c:v>
                </c:pt>
                <c:pt idx="97">
                  <c:v>9.7000000000000792</c:v>
                </c:pt>
                <c:pt idx="98">
                  <c:v>9.8000000000000895</c:v>
                </c:pt>
                <c:pt idx="99">
                  <c:v>9.9000000000000998</c:v>
                </c:pt>
                <c:pt idx="100">
                  <c:v>10.000000000000099</c:v>
                </c:pt>
                <c:pt idx="101">
                  <c:v>10.100000000000099</c:v>
                </c:pt>
                <c:pt idx="102">
                  <c:v>10.200000000000101</c:v>
                </c:pt>
                <c:pt idx="103">
                  <c:v>10.3000000000001</c:v>
                </c:pt>
                <c:pt idx="104">
                  <c:v>10.400000000000199</c:v>
                </c:pt>
                <c:pt idx="105">
                  <c:v>10.500000000000201</c:v>
                </c:pt>
                <c:pt idx="106">
                  <c:v>10.6000000000002</c:v>
                </c:pt>
                <c:pt idx="107">
                  <c:v>10.7000000000002</c:v>
                </c:pt>
                <c:pt idx="108">
                  <c:v>10.8000000000002</c:v>
                </c:pt>
                <c:pt idx="109">
                  <c:v>10.900000000000199</c:v>
                </c:pt>
                <c:pt idx="110">
                  <c:v>11.000000000000201</c:v>
                </c:pt>
                <c:pt idx="111">
                  <c:v>11.1000000000002</c:v>
                </c:pt>
                <c:pt idx="112">
                  <c:v>11.2000000000002</c:v>
                </c:pt>
                <c:pt idx="113">
                  <c:v>11.3000000000002</c:v>
                </c:pt>
                <c:pt idx="114">
                  <c:v>11.400000000000301</c:v>
                </c:pt>
                <c:pt idx="115">
                  <c:v>11.5000000000003</c:v>
                </c:pt>
                <c:pt idx="116">
                  <c:v>11.6000000000003</c:v>
                </c:pt>
                <c:pt idx="117">
                  <c:v>11.700000000000299</c:v>
                </c:pt>
                <c:pt idx="118">
                  <c:v>11.800000000000299</c:v>
                </c:pt>
                <c:pt idx="119">
                  <c:v>11.900000000000301</c:v>
                </c:pt>
                <c:pt idx="120">
                  <c:v>12.0000000000003</c:v>
                </c:pt>
                <c:pt idx="121">
                  <c:v>12.1000000000003</c:v>
                </c:pt>
                <c:pt idx="122">
                  <c:v>12.200000000000299</c:v>
                </c:pt>
                <c:pt idx="123">
                  <c:v>12.3000000000004</c:v>
                </c:pt>
                <c:pt idx="124">
                  <c:v>12.4000000000004</c:v>
                </c:pt>
                <c:pt idx="125">
                  <c:v>12.5000000000004</c:v>
                </c:pt>
                <c:pt idx="126">
                  <c:v>12.600000000000399</c:v>
                </c:pt>
                <c:pt idx="127">
                  <c:v>12.700000000000401</c:v>
                </c:pt>
                <c:pt idx="128">
                  <c:v>12.8000000000004</c:v>
                </c:pt>
              </c:numCache>
            </c:numRef>
          </c:xVal>
          <c:yVal>
            <c:numRef>
              <c:f>Sheet2!$C$3:$C$131</c:f>
              <c:numCache>
                <c:formatCode>General</c:formatCode>
                <c:ptCount val="129"/>
                <c:pt idx="0">
                  <c:v>0</c:v>
                </c:pt>
                <c:pt idx="1">
                  <c:v>1.5401105162188931E-2</c:v>
                </c:pt>
                <c:pt idx="2">
                  <c:v>6.1604398393115038E-2</c:v>
                </c:pt>
                <c:pt idx="3">
                  <c:v>0.13860967939276461</c:v>
                </c:pt>
                <c:pt idx="4">
                  <c:v>0.2464161692272018</c:v>
                </c:pt>
                <c:pt idx="5">
                  <c:v>0.38502184274090984</c:v>
                </c:pt>
                <c:pt idx="6">
                  <c:v>0.55442249416550071</c:v>
                </c:pt>
                <c:pt idx="7">
                  <c:v>0.75461053640113163</c:v>
                </c:pt>
                <c:pt idx="8">
                  <c:v>0.98557353493254773</c:v>
                </c:pt>
                <c:pt idx="9">
                  <c:v>1.247292478088281</c:v>
                </c:pt>
                <c:pt idx="10">
                  <c:v>1.5397397864152971</c:v>
                </c:pt>
                <c:pt idx="11">
                  <c:v>1.862877065376175</c:v>
                </c:pt>
                <c:pt idx="12">
                  <c:v>2.2166526074322164</c:v>
                </c:pt>
                <c:pt idx="13">
                  <c:v>2.6009986518988679</c:v>
                </c:pt>
                <c:pt idx="14">
                  <c:v>3.0158284137872835</c:v>
                </c:pt>
                <c:pt idx="15">
                  <c:v>3.4610328962054071</c:v>
                </c:pt>
                <c:pt idx="16">
                  <c:v>3.9364775047977476</c:v>
                </c:pt>
                <c:pt idx="17">
                  <c:v>4.441998487152568</c:v>
                </c:pt>
                <c:pt idx="18">
                  <c:v>4.9773992250746995</c:v>
                </c:pt>
                <c:pt idx="19">
                  <c:v>5.5424464130631375</c:v>
                </c:pt>
                <c:pt idx="20">
                  <c:v>6.1368661621673262</c:v>
                </c:pt>
                <c:pt idx="21">
                  <c:v>6.760340074513941</c:v>
                </c:pt>
                <c:pt idx="22">
                  <c:v>7.4125013400511328</c:v>
                </c:pt>
                <c:pt idx="23">
                  <c:v>8.09293091326556</c:v>
                </c:pt>
                <c:pt idx="24">
                  <c:v>8.8011538335680868</c:v>
                </c:pt>
                <c:pt idx="25">
                  <c:v>9.5366357584594112</c:v>
                </c:pt>
                <c:pt idx="26">
                  <c:v>10.298779783189635</c:v>
                </c:pt>
                <c:pt idx="27">
                  <c:v>11.086923624104696</c:v>
                </c:pt>
                <c:pt idx="28">
                  <c:v>11.900337244904717</c:v>
                </c:pt>
                <c:pt idx="29">
                  <c:v>12.738221005304691</c:v>
                </c:pt>
                <c:pt idx="30">
                  <c:v>13.599704409786021</c:v>
                </c:pt>
                <c:pt idx="31">
                  <c:v>14.483845529999241</c:v>
                </c:pt>
                <c:pt idx="32">
                  <c:v>15.389631167726609</c:v>
                </c:pt>
                <c:pt idx="33">
                  <c:v>16.315977816025658</c:v>
                </c:pt>
                <c:pt idx="34">
                  <c:v>17.261733464244688</c:v>
                </c:pt>
                <c:pt idx="35">
                  <c:v>18.225680278143294</c:v>
                </c:pt>
                <c:pt idx="36">
                  <c:v>19.206538169615943</c:v>
                </c:pt>
                <c:pt idx="37">
                  <c:v>20.202969251891933</c:v>
                </c:pt>
                <c:pt idx="38">
                  <c:v>21.213583156093598</c:v>
                </c:pt>
                <c:pt idx="39">
                  <c:v>22.236943164317577</c:v>
                </c:pt>
                <c:pt idx="40">
                  <c:v>23.271573093697029</c:v>
                </c:pt>
                <c:pt idx="41">
                  <c:v>24.315964846001876</c:v>
                </c:pt>
                <c:pt idx="42">
                  <c:v>25.368586519052585</c:v>
                </c:pt>
                <c:pt idx="43">
                  <c:v>26.427890960346147</c:v>
                </c:pt>
                <c:pt idx="44">
                  <c:v>27.49232463052838</c:v>
                </c:pt>
                <c:pt idx="45">
                  <c:v>28.560336635279878</c:v>
                </c:pt>
                <c:pt idx="46">
                  <c:v>29.630387779238344</c:v>
                </c:pt>
                <c:pt idx="47">
                  <c:v>30.70095949499029</c:v>
                </c:pt>
                <c:pt idx="48">
                  <c:v>31.770562503957766</c:v>
                </c:pt>
                <c:pt idx="49">
                  <c:v>32.837745073999081</c:v>
                </c:pt>
                <c:pt idx="50">
                  <c:v>33.901100750357664</c:v>
                </c:pt>
                <c:pt idx="51">
                  <c:v>34.959275451684974</c:v>
                </c:pt>
                <c:pt idx="52">
                  <c:v>36.010973840546662</c:v>
                </c:pt>
                <c:pt idx="53">
                  <c:v>37.054964897330706</c:v>
                </c:pt>
                <c:pt idx="54">
                  <c:v>38.090086646995587</c:v>
                </c:pt>
                <c:pt idx="55">
                  <c:v>39.115250008823899</c:v>
                </c:pt>
                <c:pt idx="56">
                  <c:v>40.129441759525093</c:v>
                </c:pt>
                <c:pt idx="57">
                  <c:v>41.131726618990918</c:v>
                </c:pt>
                <c:pt idx="58">
                  <c:v>42.121248485193362</c:v>
                </c:pt>
                <c:pt idx="59">
                  <c:v>43.09723085970267</c:v>
                </c:pt>
                <c:pt idx="60">
                  <c:v>44.058976517805768</c:v>
                </c:pt>
                <c:pt idx="61">
                  <c:v>45.005866487073355</c:v>
                </c:pt>
                <c:pt idx="62">
                  <c:v>45.937358405432519</c:v>
                </c:pt>
                <c:pt idx="63">
                  <c:v>46.852984334437181</c:v>
                </c:pt>
                <c:pt idx="64">
                  <c:v>47.752348105667764</c:v>
                </c:pt>
                <c:pt idx="65">
                  <c:v>48.635122278276455</c:v>
                </c:pt>
                <c:pt idx="66">
                  <c:v>49.50104478391966</c:v>
                </c:pt>
                <c:pt idx="67">
                  <c:v>50.34991533199527</c:v>
                </c:pt>
                <c:pt idx="68">
                  <c:v>51.18159164355761</c:v>
                </c:pt>
                <c:pt idx="69">
                  <c:v>51.995985576826165</c:v>
                </c:pt>
                <c:pt idx="70">
                  <c:v>52.793059201133381</c:v>
                </c:pt>
                <c:pt idx="71">
                  <c:v>53.57282086973396</c:v>
                </c:pt>
                <c:pt idx="72">
                  <c:v>54.335321335354152</c:v>
                </c:pt>
                <c:pt idx="73">
                  <c:v>55.080649945887806</c:v>
                </c:pt>
                <c:pt idx="74">
                  <c:v>55.808930951401308</c:v>
                </c:pt>
                <c:pt idx="75">
                  <c:v>56.520319947711037</c:v>
                </c:pt>
                <c:pt idx="76">
                  <c:v>57.215000476332833</c:v>
                </c:pt>
                <c:pt idx="77">
                  <c:v>57.893180795626726</c:v>
                </c:pt>
                <c:pt idx="78">
                  <c:v>58.555090833506448</c:v>
                </c:pt>
                <c:pt idx="79">
                  <c:v>59.200979328159697</c:v>
                </c:pt>
                <c:pt idx="80">
                  <c:v>59.831111159825554</c:v>
                </c:pt>
                <c:pt idx="81">
                  <c:v>60.445764873780952</c:v>
                </c:pt>
                <c:pt idx="82">
                  <c:v>61.045230392266994</c:v>
                </c:pt>
                <c:pt idx="83">
                  <c:v>61.629806911103721</c:v>
                </c:pt>
                <c:pt idx="84">
                  <c:v>62.199800975157665</c:v>
                </c:pt>
                <c:pt idx="85">
                  <c:v>62.755524725599685</c:v>
                </c:pt>
                <c:pt idx="86">
                  <c:v>63.297294310973626</c:v>
                </c:pt>
                <c:pt idx="87">
                  <c:v>63.825428453458905</c:v>
                </c:pt>
                <c:pt idx="88">
                  <c:v>64.340247161300525</c:v>
                </c:pt>
                <c:pt idx="89">
                  <c:v>64.842070578169839</c:v>
                </c:pt>
                <c:pt idx="90">
                  <c:v>65.331217960175465</c:v>
                </c:pt>
                <c:pt idx="91">
                  <c:v>65.808006771329659</c:v>
                </c:pt>
                <c:pt idx="92">
                  <c:v>66.272751888473877</c:v>
                </c:pt>
                <c:pt idx="93">
                  <c:v>66.725764906944008</c:v>
                </c:pt>
                <c:pt idx="94">
                  <c:v>67.167353538601205</c:v>
                </c:pt>
                <c:pt idx="95">
                  <c:v>67.597821094242462</c:v>
                </c:pt>
                <c:pt idx="96">
                  <c:v>68.017466042826413</c:v>
                </c:pt>
                <c:pt idx="97">
                  <c:v>68.42658164039004</c:v>
                </c:pt>
                <c:pt idx="98">
                  <c:v>68.825455621980581</c:v>
                </c:pt>
                <c:pt idx="99">
                  <c:v>69.214369950377346</c:v>
                </c:pt>
                <c:pt idx="100">
                  <c:v>69.593600615822027</c:v>
                </c:pt>
                <c:pt idx="101">
                  <c:v>69.963417481409422</c:v>
                </c:pt>
                <c:pt idx="102">
                  <c:v>70.324084169208518</c:v>
                </c:pt>
                <c:pt idx="103">
                  <c:v>70.675857982585242</c:v>
                </c:pt>
                <c:pt idx="104">
                  <c:v>71.01898986057904</c:v>
                </c:pt>
                <c:pt idx="105">
                  <c:v>71.353724360543183</c:v>
                </c:pt>
                <c:pt idx="106">
                  <c:v>71.680299665604451</c:v>
                </c:pt>
                <c:pt idx="107">
                  <c:v>71.998947613802173</c:v>
                </c:pt>
                <c:pt idx="108">
                  <c:v>72.309893746073115</c:v>
                </c:pt>
                <c:pt idx="109">
                  <c:v>72.613357370515146</c:v>
                </c:pt>
                <c:pt idx="110">
                  <c:v>72.909551640617636</c:v>
                </c:pt>
                <c:pt idx="111">
                  <c:v>73.198683645378551</c:v>
                </c:pt>
                <c:pt idx="112">
                  <c:v>73.480954509442896</c:v>
                </c:pt>
                <c:pt idx="113">
                  <c:v>73.756559501592079</c:v>
                </c:pt>
                <c:pt idx="114">
                  <c:v>74.02568815009424</c:v>
                </c:pt>
                <c:pt idx="115">
                  <c:v>74.288524363585765</c:v>
                </c:pt>
                <c:pt idx="116">
                  <c:v>74.545246556309536</c:v>
                </c:pt>
                <c:pt idx="117">
                  <c:v>74.796027776660083</c:v>
                </c:pt>
                <c:pt idx="118">
                  <c:v>75.041035838117693</c:v>
                </c:pt>
                <c:pt idx="119">
                  <c:v>75.280433451758384</c:v>
                </c:pt>
                <c:pt idx="120">
                  <c:v>75.514378359628267</c:v>
                </c:pt>
                <c:pt idx="121">
                  <c:v>75.743023468360164</c:v>
                </c:pt>
                <c:pt idx="122">
                  <c:v>75.96651698249164</c:v>
                </c:pt>
                <c:pt idx="123">
                  <c:v>76.185002537015734</c:v>
                </c:pt>
                <c:pt idx="124">
                  <c:v>76.398619328759708</c:v>
                </c:pt>
                <c:pt idx="125">
                  <c:v>76.607502246249723</c:v>
                </c:pt>
                <c:pt idx="126">
                  <c:v>76.811781997763646</c:v>
                </c:pt>
                <c:pt idx="127">
                  <c:v>77.011585237327751</c:v>
                </c:pt>
                <c:pt idx="128">
                  <c:v>77.207034688450733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0E-48E2-8EE5-114D80696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145679"/>
        <c:axId val="1636148559"/>
      </c:scatterChart>
      <c:valAx>
        <c:axId val="163614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6148559"/>
        <c:crosses val="autoZero"/>
        <c:crossBetween val="midCat"/>
      </c:valAx>
      <c:valAx>
        <c:axId val="163614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6145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533400</xdr:colOff>
      <xdr:row>19</xdr:row>
      <xdr:rowOff>57150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E676AF0-CBDD-4DD8-A248-E7F976F66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E14" sqref="E14"/>
    </sheetView>
  </sheetViews>
  <sheetFormatPr defaultRowHeight="18" outlineLevelCol="1"/>
  <cols>
    <col min="2" max="2" width="26.58203125" bestFit="1" customWidth="1"/>
    <col min="4" max="4" width="12.33203125" bestFit="1" customWidth="1"/>
    <col min="5" max="5" width="12.33203125" customWidth="1"/>
    <col min="6" max="6" width="12.58203125" hidden="1" customWidth="1" outlineLevel="1"/>
    <col min="7" max="7" width="8.6640625" collapsed="1"/>
  </cols>
  <sheetData>
    <row r="1" spans="1:6">
      <c r="C1" t="s">
        <v>0</v>
      </c>
      <c r="D1" t="s">
        <v>36</v>
      </c>
      <c r="E1" t="s">
        <v>35</v>
      </c>
      <c r="F1" t="s">
        <v>24</v>
      </c>
    </row>
    <row r="2" spans="1:6">
      <c r="A2" t="s">
        <v>12</v>
      </c>
      <c r="B2" t="s">
        <v>3</v>
      </c>
      <c r="C2">
        <v>-0.245</v>
      </c>
      <c r="D2" s="1">
        <f>-(0.395-D3-0.05)</f>
        <v>-0.26500000000000001</v>
      </c>
      <c r="E2" s="1">
        <f>-(0.3-E3-0.05)</f>
        <v>-0.16999999999999998</v>
      </c>
      <c r="F2">
        <v>-0.26</v>
      </c>
    </row>
    <row r="3" spans="1:6">
      <c r="A3" t="s">
        <v>13</v>
      </c>
      <c r="B3" t="s">
        <v>4</v>
      </c>
      <c r="C3">
        <v>0.18</v>
      </c>
      <c r="D3" s="1">
        <v>0.08</v>
      </c>
      <c r="E3" s="1">
        <v>0.08</v>
      </c>
      <c r="F3">
        <v>7.0000000000000007E-2</v>
      </c>
    </row>
    <row r="4" spans="1:6">
      <c r="A4" t="s">
        <v>14</v>
      </c>
      <c r="B4" t="s">
        <v>9</v>
      </c>
      <c r="C4">
        <f>(C2+C3)/2</f>
        <v>-3.2500000000000001E-2</v>
      </c>
      <c r="D4">
        <f>(D2+D3)/2</f>
        <v>-9.2499999999999999E-2</v>
      </c>
      <c r="E4">
        <f>(E2+E3)/2</f>
        <v>-4.4999999999999991E-2</v>
      </c>
      <c r="F4">
        <f>(F2+F3)/2</f>
        <v>-9.5000000000000001E-2</v>
      </c>
    </row>
    <row r="5" spans="1:6">
      <c r="A5" t="s">
        <v>15</v>
      </c>
      <c r="B5" t="s">
        <v>1</v>
      </c>
      <c r="C5">
        <v>1.46E-2</v>
      </c>
      <c r="D5">
        <f>C5*(D10/C10)^3</f>
        <v>4.3259259259259275E-3</v>
      </c>
      <c r="E5">
        <f>D5*(E10/D10)^3</f>
        <v>4.3259259259259275E-3</v>
      </c>
      <c r="F5">
        <v>1.46E-2</v>
      </c>
    </row>
    <row r="6" spans="1:6">
      <c r="A6" t="s">
        <v>16</v>
      </c>
      <c r="B6" t="s">
        <v>2</v>
      </c>
      <c r="C6">
        <v>2.8799999999999999E-2</v>
      </c>
      <c r="D6" s="1">
        <f>0.011958*4</f>
        <v>4.7832E-2</v>
      </c>
      <c r="E6" s="1">
        <f>0.011958*3</f>
        <v>3.5874000000000003E-2</v>
      </c>
      <c r="F6">
        <v>8.3500000000000005E-2</v>
      </c>
    </row>
    <row r="7" spans="1:6">
      <c r="A7" t="s">
        <v>17</v>
      </c>
      <c r="B7" t="s">
        <v>10</v>
      </c>
      <c r="C7">
        <f>10.8/2/1000</f>
        <v>5.4000000000000003E-3</v>
      </c>
      <c r="D7">
        <f>2700*(0.005^2-0.004^2)*PI()/4*0.5</f>
        <v>9.5425876852789984E-3</v>
      </c>
      <c r="E7">
        <f>2700*(0.005^2-0.004^2)*PI()/4*0.5</f>
        <v>9.5425876852789984E-3</v>
      </c>
      <c r="F7">
        <f>10.8/2/1000</f>
        <v>5.4000000000000003E-3</v>
      </c>
    </row>
    <row r="8" spans="1:6">
      <c r="A8" t="s">
        <v>19</v>
      </c>
      <c r="B8" t="s">
        <v>7</v>
      </c>
      <c r="C8">
        <f>(C3*C6+C2*C5+C4*C7)/(C5+C6+C7)</f>
        <v>2.9334016393442609E-2</v>
      </c>
      <c r="D8">
        <f>(D3*D6+D2*D5+D4*D7)/(D5+D6+D7)</f>
        <v>2.9132662980213709E-2</v>
      </c>
      <c r="E8">
        <f>(E3*E6+E2*E5+E4*E7)/(E5+E6+E7)</f>
        <v>3.4278447608866912E-2</v>
      </c>
      <c r="F8">
        <f>(F3*F6+F2*F5+F4*F7)/(F5+F6+F7)</f>
        <v>1.4840579710144935E-2</v>
      </c>
    </row>
    <row r="9" spans="1:6">
      <c r="A9" t="s">
        <v>18</v>
      </c>
      <c r="B9" t="s">
        <v>8</v>
      </c>
      <c r="C9">
        <f>(C3*C6+C2*C5+C4*C7)/C8</f>
        <v>4.8800000000000003E-2</v>
      </c>
      <c r="D9">
        <f>(D3*D6+D2*D5+D4*D7)/D8</f>
        <v>6.1700513611204925E-2</v>
      </c>
      <c r="E9">
        <f>(E3*E6+E2*E5+E4*E7)/E8</f>
        <v>4.9742513611204929E-2</v>
      </c>
      <c r="F9">
        <f>(F3*F6+F2*F5+F4*F7)/F8</f>
        <v>0.10350000000000001</v>
      </c>
    </row>
    <row r="10" spans="1:6">
      <c r="A10" t="s">
        <v>20</v>
      </c>
      <c r="B10" t="s">
        <v>5</v>
      </c>
      <c r="C10">
        <v>0.15</v>
      </c>
      <c r="D10">
        <v>0.1</v>
      </c>
      <c r="E10">
        <v>0.1</v>
      </c>
      <c r="F10">
        <v>0.15</v>
      </c>
    </row>
    <row r="11" spans="1:6">
      <c r="A11" t="s">
        <v>21</v>
      </c>
      <c r="B11" t="s">
        <v>6</v>
      </c>
      <c r="C11">
        <f>PI()*C10*C10/4</f>
        <v>1.7671458676442587E-2</v>
      </c>
      <c r="D11">
        <f>PI()*D10*D10/4</f>
        <v>7.8539816339744835E-3</v>
      </c>
      <c r="E11">
        <f>PI()*E10*E10/4</f>
        <v>7.8539816339744835E-3</v>
      </c>
      <c r="F11">
        <f>PI()*F10*F10/4</f>
        <v>1.7671458676442587E-2</v>
      </c>
    </row>
    <row r="12" spans="1:6">
      <c r="A12" t="s">
        <v>22</v>
      </c>
      <c r="B12" t="s">
        <v>11</v>
      </c>
      <c r="C12">
        <f>ABS(C8*C9/C2)</f>
        <v>5.8428571428571401E-3</v>
      </c>
      <c r="D12">
        <f>ABS(D8*D9/D2)</f>
        <v>6.7830198820427231E-3</v>
      </c>
      <c r="E12">
        <f>ABS(E8*E9/E2)</f>
        <v>1.0029977333853163E-2</v>
      </c>
      <c r="F12">
        <f>ABS(F8*F9/F2)</f>
        <v>5.9076923076923108E-3</v>
      </c>
    </row>
    <row r="13" spans="1:6">
      <c r="A13" t="s">
        <v>23</v>
      </c>
      <c r="C13">
        <f>C12/C11</f>
        <v>0.33063807860106748</v>
      </c>
      <c r="D13">
        <f>D12/D11</f>
        <v>0.86364091465416337</v>
      </c>
      <c r="E13">
        <f>E12/E11</f>
        <v>1.27705637742592</v>
      </c>
      <c r="F13">
        <f>F12/F11</f>
        <v>0.33430699841251471</v>
      </c>
    </row>
    <row r="14" spans="1:6">
      <c r="A14" t="s">
        <v>37</v>
      </c>
      <c r="C14">
        <f>(0.5*C19*C18*C11)/(C12*C17)</f>
        <v>0.10385966241569326</v>
      </c>
      <c r="D14">
        <f t="shared" ref="D14:F14" si="0">(0.5*D19*D18*D11)/(D12*D17)</f>
        <v>3.9761848521305217E-2</v>
      </c>
      <c r="E14">
        <f t="shared" si="0"/>
        <v>2.6889932059614444E-2</v>
      </c>
      <c r="F14">
        <f t="shared" si="0"/>
        <v>0.10271983353129474</v>
      </c>
    </row>
    <row r="16" spans="1:6">
      <c r="A16" t="s">
        <v>26</v>
      </c>
      <c r="B16" t="s">
        <v>25</v>
      </c>
      <c r="C16">
        <v>4</v>
      </c>
      <c r="D16">
        <v>1</v>
      </c>
      <c r="E16">
        <v>5</v>
      </c>
      <c r="F16">
        <v>5</v>
      </c>
    </row>
    <row r="17" spans="1:6">
      <c r="A17" t="s">
        <v>33</v>
      </c>
      <c r="B17" t="s">
        <v>34</v>
      </c>
      <c r="C17">
        <v>9.81</v>
      </c>
      <c r="D17">
        <v>9.81</v>
      </c>
      <c r="E17">
        <v>9.81</v>
      </c>
      <c r="F17">
        <v>9.81</v>
      </c>
    </row>
    <row r="18" spans="1:6">
      <c r="A18" t="s">
        <v>27</v>
      </c>
      <c r="B18" t="s">
        <v>28</v>
      </c>
      <c r="C18">
        <v>0.55000000000000004</v>
      </c>
      <c r="D18">
        <v>0.55000000000000004</v>
      </c>
      <c r="E18">
        <v>0.55000000000000004</v>
      </c>
      <c r="F18">
        <v>0.55000000000000004</v>
      </c>
    </row>
    <row r="19" spans="1:6">
      <c r="A19" t="s">
        <v>30</v>
      </c>
      <c r="B19" t="s">
        <v>29</v>
      </c>
      <c r="C19">
        <v>1.2250000000000001</v>
      </c>
      <c r="D19">
        <v>1.2250000000000001</v>
      </c>
      <c r="E19">
        <v>1.2250000000000001</v>
      </c>
      <c r="F19">
        <v>1.2250000000000001</v>
      </c>
    </row>
    <row r="20" spans="1:6">
      <c r="A20" t="s">
        <v>31</v>
      </c>
      <c r="B20" t="s">
        <v>32</v>
      </c>
      <c r="C20">
        <f>DEGREES(ATAN((0.5*C19*(C16^2)*C18*C11)/(C12*C17)))</f>
        <v>58.961582687262158</v>
      </c>
      <c r="D20">
        <f>DEGREES(ATAN((0.5*D19*(D16^2)*D18*D11)/(D12*D17)))</f>
        <v>2.2769866359549811</v>
      </c>
      <c r="E20">
        <f>DEGREES(ATAN((0.5*E19*(E16^2)*E18*E11)/(E12*E17)))</f>
        <v>33.910900384517682</v>
      </c>
      <c r="F20">
        <f>DEGREES(ATAN((0.5*F19*(F16^2)*F18*F11)/(F12*F17)))</f>
        <v>68.723627032801403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B8DC1-0901-4004-AEE1-57169980FD59}">
  <dimension ref="B2:C131"/>
  <sheetViews>
    <sheetView tabSelected="1" workbookViewId="0">
      <selection activeCell="C3" sqref="C3"/>
    </sheetView>
  </sheetViews>
  <sheetFormatPr defaultRowHeight="18"/>
  <sheetData>
    <row r="2" spans="2:3">
      <c r="B2" t="s">
        <v>38</v>
      </c>
      <c r="C2">
        <v>2.6880000000000001E-2</v>
      </c>
    </row>
    <row r="3" spans="2:3">
      <c r="B3">
        <v>0</v>
      </c>
      <c r="C3">
        <f>DEGREES(ATAN($C$2*B3^2))</f>
        <v>0</v>
      </c>
    </row>
    <row r="4" spans="2:3">
      <c r="B4">
        <v>0.1</v>
      </c>
      <c r="C4">
        <f t="shared" ref="C4:C67" si="0">DEGREES(ATAN($C$2*B4^2))</f>
        <v>1.5401105162188931E-2</v>
      </c>
    </row>
    <row r="5" spans="2:3">
      <c r="B5">
        <v>0.2</v>
      </c>
      <c r="C5">
        <f t="shared" si="0"/>
        <v>6.1604398393115038E-2</v>
      </c>
    </row>
    <row r="6" spans="2:3">
      <c r="B6">
        <v>0.3</v>
      </c>
      <c r="C6">
        <f t="shared" si="0"/>
        <v>0.13860967939276461</v>
      </c>
    </row>
    <row r="7" spans="2:3">
      <c r="B7">
        <v>0.4</v>
      </c>
      <c r="C7">
        <f t="shared" si="0"/>
        <v>0.2464161692272018</v>
      </c>
    </row>
    <row r="8" spans="2:3">
      <c r="B8">
        <v>0.5</v>
      </c>
      <c r="C8">
        <f t="shared" si="0"/>
        <v>0.38502184274090984</v>
      </c>
    </row>
    <row r="9" spans="2:3">
      <c r="B9">
        <v>0.6</v>
      </c>
      <c r="C9">
        <f t="shared" si="0"/>
        <v>0.55442249416550071</v>
      </c>
    </row>
    <row r="10" spans="2:3">
      <c r="B10">
        <v>0.7</v>
      </c>
      <c r="C10">
        <f t="shared" si="0"/>
        <v>0.75461053640113163</v>
      </c>
    </row>
    <row r="11" spans="2:3">
      <c r="B11">
        <v>0.8</v>
      </c>
      <c r="C11">
        <f t="shared" si="0"/>
        <v>0.98557353493254773</v>
      </c>
    </row>
    <row r="12" spans="2:3">
      <c r="B12">
        <v>0.9</v>
      </c>
      <c r="C12">
        <f t="shared" si="0"/>
        <v>1.247292478088281</v>
      </c>
    </row>
    <row r="13" spans="2:3">
      <c r="B13">
        <v>1</v>
      </c>
      <c r="C13">
        <f t="shared" si="0"/>
        <v>1.5397397864152971</v>
      </c>
    </row>
    <row r="14" spans="2:3">
      <c r="B14">
        <v>1.1000000000000001</v>
      </c>
      <c r="C14">
        <f t="shared" si="0"/>
        <v>1.862877065376175</v>
      </c>
    </row>
    <row r="15" spans="2:3">
      <c r="B15">
        <v>1.2</v>
      </c>
      <c r="C15">
        <f t="shared" si="0"/>
        <v>2.2166526074322164</v>
      </c>
    </row>
    <row r="16" spans="2:3">
      <c r="B16">
        <v>1.3</v>
      </c>
      <c r="C16">
        <f t="shared" si="0"/>
        <v>2.6009986518988679</v>
      </c>
    </row>
    <row r="17" spans="2:3">
      <c r="B17">
        <v>1.4</v>
      </c>
      <c r="C17">
        <f t="shared" si="0"/>
        <v>3.0158284137872835</v>
      </c>
    </row>
    <row r="18" spans="2:3">
      <c r="B18">
        <v>1.5</v>
      </c>
      <c r="C18">
        <f t="shared" si="0"/>
        <v>3.4610328962054071</v>
      </c>
    </row>
    <row r="19" spans="2:3">
      <c r="B19">
        <v>1.6</v>
      </c>
      <c r="C19">
        <f t="shared" si="0"/>
        <v>3.9364775047977476</v>
      </c>
    </row>
    <row r="20" spans="2:3">
      <c r="B20">
        <v>1.7</v>
      </c>
      <c r="C20">
        <f t="shared" si="0"/>
        <v>4.441998487152568</v>
      </c>
    </row>
    <row r="21" spans="2:3">
      <c r="B21">
        <v>1.8</v>
      </c>
      <c r="C21">
        <f t="shared" si="0"/>
        <v>4.9773992250746995</v>
      </c>
    </row>
    <row r="22" spans="2:3">
      <c r="B22">
        <v>1.9</v>
      </c>
      <c r="C22">
        <f t="shared" si="0"/>
        <v>5.5424464130631375</v>
      </c>
    </row>
    <row r="23" spans="2:3">
      <c r="B23">
        <v>2</v>
      </c>
      <c r="C23">
        <f t="shared" si="0"/>
        <v>6.1368661621673262</v>
      </c>
    </row>
    <row r="24" spans="2:3">
      <c r="B24">
        <v>2.1</v>
      </c>
      <c r="C24">
        <f t="shared" si="0"/>
        <v>6.760340074513941</v>
      </c>
    </row>
    <row r="25" spans="2:3">
      <c r="B25">
        <v>2.2000000000000002</v>
      </c>
      <c r="C25">
        <f t="shared" si="0"/>
        <v>7.4125013400511328</v>
      </c>
    </row>
    <row r="26" spans="2:3">
      <c r="B26">
        <v>2.2999999999999998</v>
      </c>
      <c r="C26">
        <f t="shared" si="0"/>
        <v>8.09293091326556</v>
      </c>
    </row>
    <row r="27" spans="2:3">
      <c r="B27">
        <v>2.4</v>
      </c>
      <c r="C27">
        <f t="shared" si="0"/>
        <v>8.8011538335680868</v>
      </c>
    </row>
    <row r="28" spans="2:3">
      <c r="B28">
        <v>2.5</v>
      </c>
      <c r="C28">
        <f t="shared" si="0"/>
        <v>9.5366357584594112</v>
      </c>
    </row>
    <row r="29" spans="2:3">
      <c r="B29">
        <v>2.6</v>
      </c>
      <c r="C29">
        <f t="shared" si="0"/>
        <v>10.298779783189635</v>
      </c>
    </row>
    <row r="30" spans="2:3">
      <c r="B30">
        <v>2.7</v>
      </c>
      <c r="C30">
        <f t="shared" si="0"/>
        <v>11.086923624104696</v>
      </c>
    </row>
    <row r="31" spans="2:3">
      <c r="B31">
        <v>2.8</v>
      </c>
      <c r="C31">
        <f t="shared" si="0"/>
        <v>11.900337244904717</v>
      </c>
    </row>
    <row r="32" spans="2:3">
      <c r="B32">
        <v>2.9</v>
      </c>
      <c r="C32">
        <f t="shared" si="0"/>
        <v>12.738221005304691</v>
      </c>
    </row>
    <row r="33" spans="2:3">
      <c r="B33">
        <v>3</v>
      </c>
      <c r="C33">
        <f t="shared" si="0"/>
        <v>13.599704409786021</v>
      </c>
    </row>
    <row r="34" spans="2:3">
      <c r="B34">
        <v>3.1</v>
      </c>
      <c r="C34">
        <f t="shared" si="0"/>
        <v>14.483845529999241</v>
      </c>
    </row>
    <row r="35" spans="2:3">
      <c r="B35">
        <v>3.2</v>
      </c>
      <c r="C35">
        <f t="shared" si="0"/>
        <v>15.389631167726609</v>
      </c>
    </row>
    <row r="36" spans="2:3">
      <c r="B36">
        <v>3.3</v>
      </c>
      <c r="C36">
        <f t="shared" si="0"/>
        <v>16.315977816025658</v>
      </c>
    </row>
    <row r="37" spans="2:3">
      <c r="B37">
        <v>3.4</v>
      </c>
      <c r="C37">
        <f t="shared" si="0"/>
        <v>17.261733464244688</v>
      </c>
    </row>
    <row r="38" spans="2:3">
      <c r="B38">
        <v>3.5</v>
      </c>
      <c r="C38">
        <f t="shared" si="0"/>
        <v>18.225680278143294</v>
      </c>
    </row>
    <row r="39" spans="2:3">
      <c r="B39">
        <v>3.6</v>
      </c>
      <c r="C39">
        <f t="shared" si="0"/>
        <v>19.206538169615943</v>
      </c>
    </row>
    <row r="40" spans="2:3">
      <c r="B40">
        <v>3.7</v>
      </c>
      <c r="C40">
        <f t="shared" si="0"/>
        <v>20.202969251891933</v>
      </c>
    </row>
    <row r="41" spans="2:3">
      <c r="B41">
        <v>3.8</v>
      </c>
      <c r="C41">
        <f t="shared" si="0"/>
        <v>21.213583156093598</v>
      </c>
    </row>
    <row r="42" spans="2:3">
      <c r="B42">
        <v>3.9</v>
      </c>
      <c r="C42">
        <f t="shared" si="0"/>
        <v>22.236943164317577</v>
      </c>
    </row>
    <row r="43" spans="2:3">
      <c r="B43">
        <v>4</v>
      </c>
      <c r="C43">
        <f t="shared" si="0"/>
        <v>23.271573093697029</v>
      </c>
    </row>
    <row r="44" spans="2:3">
      <c r="B44">
        <v>4.0999999999999996</v>
      </c>
      <c r="C44">
        <f t="shared" si="0"/>
        <v>24.315964846001876</v>
      </c>
    </row>
    <row r="45" spans="2:3">
      <c r="B45">
        <v>4.2</v>
      </c>
      <c r="C45">
        <f t="shared" si="0"/>
        <v>25.368586519052585</v>
      </c>
    </row>
    <row r="46" spans="2:3">
      <c r="B46">
        <v>4.3</v>
      </c>
      <c r="C46">
        <f t="shared" si="0"/>
        <v>26.427890960346147</v>
      </c>
    </row>
    <row r="47" spans="2:3">
      <c r="B47">
        <v>4.4000000000000004</v>
      </c>
      <c r="C47">
        <f t="shared" si="0"/>
        <v>27.49232463052838</v>
      </c>
    </row>
    <row r="48" spans="2:3">
      <c r="B48">
        <v>4.5</v>
      </c>
      <c r="C48">
        <f t="shared" si="0"/>
        <v>28.560336635279878</v>
      </c>
    </row>
    <row r="49" spans="2:3">
      <c r="B49">
        <v>4.5999999999999996</v>
      </c>
      <c r="C49">
        <f t="shared" si="0"/>
        <v>29.630387779238344</v>
      </c>
    </row>
    <row r="50" spans="2:3">
      <c r="B50">
        <v>4.7</v>
      </c>
      <c r="C50">
        <f t="shared" si="0"/>
        <v>30.70095949499029</v>
      </c>
    </row>
    <row r="51" spans="2:3">
      <c r="B51">
        <v>4.8</v>
      </c>
      <c r="C51">
        <f t="shared" si="0"/>
        <v>31.770562503957766</v>
      </c>
    </row>
    <row r="52" spans="2:3">
      <c r="B52">
        <v>4.9000000000000004</v>
      </c>
      <c r="C52">
        <f t="shared" si="0"/>
        <v>32.837745073999081</v>
      </c>
    </row>
    <row r="53" spans="2:3">
      <c r="B53">
        <v>5</v>
      </c>
      <c r="C53">
        <f t="shared" si="0"/>
        <v>33.901100750357664</v>
      </c>
    </row>
    <row r="54" spans="2:3">
      <c r="B54">
        <v>5.0999999999999996</v>
      </c>
      <c r="C54">
        <f t="shared" si="0"/>
        <v>34.959275451684974</v>
      </c>
    </row>
    <row r="55" spans="2:3">
      <c r="B55">
        <v>5.2</v>
      </c>
      <c r="C55">
        <f t="shared" si="0"/>
        <v>36.010973840546662</v>
      </c>
    </row>
    <row r="56" spans="2:3">
      <c r="B56">
        <v>5.3</v>
      </c>
      <c r="C56">
        <f t="shared" si="0"/>
        <v>37.054964897330706</v>
      </c>
    </row>
    <row r="57" spans="2:3">
      <c r="B57">
        <v>5.4</v>
      </c>
      <c r="C57">
        <f t="shared" si="0"/>
        <v>38.090086646995587</v>
      </c>
    </row>
    <row r="58" spans="2:3">
      <c r="B58">
        <v>5.5</v>
      </c>
      <c r="C58">
        <f t="shared" si="0"/>
        <v>39.115250008823899</v>
      </c>
    </row>
    <row r="59" spans="2:3">
      <c r="B59">
        <v>5.6</v>
      </c>
      <c r="C59">
        <f t="shared" si="0"/>
        <v>40.129441759525093</v>
      </c>
    </row>
    <row r="60" spans="2:3">
      <c r="B60">
        <v>5.7</v>
      </c>
      <c r="C60">
        <f t="shared" si="0"/>
        <v>41.131726618990918</v>
      </c>
    </row>
    <row r="61" spans="2:3">
      <c r="B61">
        <v>5.8</v>
      </c>
      <c r="C61">
        <f t="shared" si="0"/>
        <v>42.121248485193362</v>
      </c>
    </row>
    <row r="62" spans="2:3">
      <c r="B62">
        <v>5.9</v>
      </c>
      <c r="C62">
        <f t="shared" si="0"/>
        <v>43.09723085970267</v>
      </c>
    </row>
    <row r="63" spans="2:3">
      <c r="B63">
        <v>6</v>
      </c>
      <c r="C63">
        <f t="shared" si="0"/>
        <v>44.058976517805768</v>
      </c>
    </row>
    <row r="64" spans="2:3">
      <c r="B64">
        <v>6.1</v>
      </c>
      <c r="C64">
        <f t="shared" si="0"/>
        <v>45.005866487073355</v>
      </c>
    </row>
    <row r="65" spans="2:3">
      <c r="B65">
        <v>6.2</v>
      </c>
      <c r="C65">
        <f t="shared" si="0"/>
        <v>45.937358405432519</v>
      </c>
    </row>
    <row r="66" spans="2:3">
      <c r="B66">
        <v>6.3</v>
      </c>
      <c r="C66">
        <f t="shared" si="0"/>
        <v>46.852984334437181</v>
      </c>
    </row>
    <row r="67" spans="2:3">
      <c r="B67">
        <v>6.4</v>
      </c>
      <c r="C67">
        <f t="shared" si="0"/>
        <v>47.752348105667764</v>
      </c>
    </row>
    <row r="68" spans="2:3">
      <c r="B68">
        <v>6.5</v>
      </c>
      <c r="C68">
        <f t="shared" ref="C68:C131" si="1">DEGREES(ATAN($C$2*B68^2))</f>
        <v>48.635122278276455</v>
      </c>
    </row>
    <row r="69" spans="2:3">
      <c r="B69">
        <v>6.6</v>
      </c>
      <c r="C69">
        <f t="shared" si="1"/>
        <v>49.50104478391966</v>
      </c>
    </row>
    <row r="70" spans="2:3">
      <c r="B70">
        <v>6.7</v>
      </c>
      <c r="C70">
        <f t="shared" si="1"/>
        <v>50.34991533199527</v>
      </c>
    </row>
    <row r="71" spans="2:3">
      <c r="B71">
        <v>6.8</v>
      </c>
      <c r="C71">
        <f t="shared" si="1"/>
        <v>51.18159164355761</v>
      </c>
    </row>
    <row r="72" spans="2:3">
      <c r="B72">
        <v>6.9</v>
      </c>
      <c r="C72">
        <f t="shared" si="1"/>
        <v>51.995985576826165</v>
      </c>
    </row>
    <row r="73" spans="2:3">
      <c r="B73">
        <v>7</v>
      </c>
      <c r="C73">
        <f t="shared" si="1"/>
        <v>52.793059201133381</v>
      </c>
    </row>
    <row r="74" spans="2:3">
      <c r="B74">
        <v>7.1</v>
      </c>
      <c r="C74">
        <f t="shared" si="1"/>
        <v>53.57282086973396</v>
      </c>
    </row>
    <row r="75" spans="2:3">
      <c r="B75">
        <v>7.2</v>
      </c>
      <c r="C75">
        <f t="shared" si="1"/>
        <v>54.335321335354152</v>
      </c>
    </row>
    <row r="76" spans="2:3">
      <c r="B76">
        <v>7.3</v>
      </c>
      <c r="C76">
        <f t="shared" si="1"/>
        <v>55.080649945887806</v>
      </c>
    </row>
    <row r="77" spans="2:3">
      <c r="B77">
        <v>7.4</v>
      </c>
      <c r="C77">
        <f t="shared" si="1"/>
        <v>55.808930951401308</v>
      </c>
    </row>
    <row r="78" spans="2:3">
      <c r="B78">
        <v>7.5</v>
      </c>
      <c r="C78">
        <f t="shared" si="1"/>
        <v>56.520319947711037</v>
      </c>
    </row>
    <row r="79" spans="2:3">
      <c r="B79">
        <v>7.6</v>
      </c>
      <c r="C79">
        <f t="shared" si="1"/>
        <v>57.215000476332833</v>
      </c>
    </row>
    <row r="80" spans="2:3">
      <c r="B80">
        <v>7.7</v>
      </c>
      <c r="C80">
        <f t="shared" si="1"/>
        <v>57.893180795626726</v>
      </c>
    </row>
    <row r="81" spans="2:3">
      <c r="B81">
        <v>7.8</v>
      </c>
      <c r="C81">
        <f t="shared" si="1"/>
        <v>58.555090833506448</v>
      </c>
    </row>
    <row r="82" spans="2:3">
      <c r="B82">
        <v>7.9</v>
      </c>
      <c r="C82">
        <f t="shared" si="1"/>
        <v>59.200979328159697</v>
      </c>
    </row>
    <row r="83" spans="2:3">
      <c r="B83">
        <v>8</v>
      </c>
      <c r="C83">
        <f t="shared" si="1"/>
        <v>59.831111159825554</v>
      </c>
    </row>
    <row r="84" spans="2:3">
      <c r="B84">
        <v>8.1</v>
      </c>
      <c r="C84">
        <f t="shared" si="1"/>
        <v>60.445764873780952</v>
      </c>
    </row>
    <row r="85" spans="2:3">
      <c r="B85">
        <v>8.1999999999999993</v>
      </c>
      <c r="C85">
        <f t="shared" si="1"/>
        <v>61.045230392266994</v>
      </c>
    </row>
    <row r="86" spans="2:3">
      <c r="B86">
        <v>8.3000000000000096</v>
      </c>
      <c r="C86">
        <f t="shared" si="1"/>
        <v>61.629806911103721</v>
      </c>
    </row>
    <row r="87" spans="2:3">
      <c r="B87">
        <v>8.4</v>
      </c>
      <c r="C87">
        <f t="shared" si="1"/>
        <v>62.199800975157665</v>
      </c>
    </row>
    <row r="88" spans="2:3">
      <c r="B88">
        <v>8.5</v>
      </c>
      <c r="C88">
        <f t="shared" si="1"/>
        <v>62.755524725599685</v>
      </c>
    </row>
    <row r="89" spans="2:3">
      <c r="B89">
        <v>8.6000000000000103</v>
      </c>
      <c r="C89">
        <f t="shared" si="1"/>
        <v>63.297294310973626</v>
      </c>
    </row>
    <row r="90" spans="2:3">
      <c r="B90">
        <v>8.7000000000000099</v>
      </c>
      <c r="C90">
        <f t="shared" si="1"/>
        <v>63.825428453458905</v>
      </c>
    </row>
    <row r="91" spans="2:3">
      <c r="B91">
        <v>8.8000000000000096</v>
      </c>
      <c r="C91">
        <f t="shared" si="1"/>
        <v>64.340247161300525</v>
      </c>
    </row>
    <row r="92" spans="2:3">
      <c r="B92">
        <v>8.9</v>
      </c>
      <c r="C92">
        <f t="shared" si="1"/>
        <v>64.842070578169839</v>
      </c>
    </row>
    <row r="93" spans="2:3">
      <c r="B93">
        <v>9.0000000000000107</v>
      </c>
      <c r="C93">
        <f t="shared" si="1"/>
        <v>65.331217960175465</v>
      </c>
    </row>
    <row r="94" spans="2:3">
      <c r="B94">
        <v>9.1000000000000192</v>
      </c>
      <c r="C94">
        <f t="shared" si="1"/>
        <v>65.808006771329659</v>
      </c>
    </row>
    <row r="95" spans="2:3">
      <c r="B95">
        <v>9.2000000000000295</v>
      </c>
      <c r="C95">
        <f t="shared" si="1"/>
        <v>66.272751888473877</v>
      </c>
    </row>
    <row r="96" spans="2:3">
      <c r="B96">
        <v>9.3000000000000398</v>
      </c>
      <c r="C96">
        <f t="shared" si="1"/>
        <v>66.725764906944008</v>
      </c>
    </row>
    <row r="97" spans="2:3">
      <c r="B97">
        <v>9.4000000000000501</v>
      </c>
      <c r="C97">
        <f t="shared" si="1"/>
        <v>67.167353538601205</v>
      </c>
    </row>
    <row r="98" spans="2:3">
      <c r="B98">
        <v>9.5000000000000604</v>
      </c>
      <c r="C98">
        <f t="shared" si="1"/>
        <v>67.597821094242462</v>
      </c>
    </row>
    <row r="99" spans="2:3">
      <c r="B99">
        <v>9.6000000000000707</v>
      </c>
      <c r="C99">
        <f t="shared" si="1"/>
        <v>68.017466042826413</v>
      </c>
    </row>
    <row r="100" spans="2:3">
      <c r="B100">
        <v>9.7000000000000792</v>
      </c>
      <c r="C100">
        <f t="shared" si="1"/>
        <v>68.42658164039004</v>
      </c>
    </row>
    <row r="101" spans="2:3">
      <c r="B101">
        <v>9.8000000000000895</v>
      </c>
      <c r="C101">
        <f t="shared" si="1"/>
        <v>68.825455621980581</v>
      </c>
    </row>
    <row r="102" spans="2:3">
      <c r="B102">
        <v>9.9000000000000998</v>
      </c>
      <c r="C102">
        <f t="shared" si="1"/>
        <v>69.214369950377346</v>
      </c>
    </row>
    <row r="103" spans="2:3">
      <c r="B103">
        <v>10.000000000000099</v>
      </c>
      <c r="C103">
        <f t="shared" si="1"/>
        <v>69.593600615822027</v>
      </c>
    </row>
    <row r="104" spans="2:3">
      <c r="B104">
        <v>10.100000000000099</v>
      </c>
      <c r="C104">
        <f t="shared" si="1"/>
        <v>69.963417481409422</v>
      </c>
    </row>
    <row r="105" spans="2:3">
      <c r="B105">
        <v>10.200000000000101</v>
      </c>
      <c r="C105">
        <f t="shared" si="1"/>
        <v>70.324084169208518</v>
      </c>
    </row>
    <row r="106" spans="2:3">
      <c r="B106">
        <v>10.3000000000001</v>
      </c>
      <c r="C106">
        <f t="shared" si="1"/>
        <v>70.675857982585242</v>
      </c>
    </row>
    <row r="107" spans="2:3">
      <c r="B107">
        <v>10.400000000000199</v>
      </c>
      <c r="C107">
        <f t="shared" si="1"/>
        <v>71.01898986057904</v>
      </c>
    </row>
    <row r="108" spans="2:3">
      <c r="B108">
        <v>10.500000000000201</v>
      </c>
      <c r="C108">
        <f t="shared" si="1"/>
        <v>71.353724360543183</v>
      </c>
    </row>
    <row r="109" spans="2:3">
      <c r="B109">
        <v>10.6000000000002</v>
      </c>
      <c r="C109">
        <f t="shared" si="1"/>
        <v>71.680299665604451</v>
      </c>
    </row>
    <row r="110" spans="2:3">
      <c r="B110">
        <v>10.7000000000002</v>
      </c>
      <c r="C110">
        <f t="shared" si="1"/>
        <v>71.998947613802173</v>
      </c>
    </row>
    <row r="111" spans="2:3">
      <c r="B111">
        <v>10.8000000000002</v>
      </c>
      <c r="C111">
        <f t="shared" si="1"/>
        <v>72.309893746073115</v>
      </c>
    </row>
    <row r="112" spans="2:3">
      <c r="B112">
        <v>10.900000000000199</v>
      </c>
      <c r="C112">
        <f t="shared" si="1"/>
        <v>72.613357370515146</v>
      </c>
    </row>
    <row r="113" spans="2:3">
      <c r="B113">
        <v>11.000000000000201</v>
      </c>
      <c r="C113">
        <f t="shared" si="1"/>
        <v>72.909551640617636</v>
      </c>
    </row>
    <row r="114" spans="2:3">
      <c r="B114">
        <v>11.1000000000002</v>
      </c>
      <c r="C114">
        <f t="shared" si="1"/>
        <v>73.198683645378551</v>
      </c>
    </row>
    <row r="115" spans="2:3">
      <c r="B115">
        <v>11.2000000000002</v>
      </c>
      <c r="C115">
        <f t="shared" si="1"/>
        <v>73.480954509442896</v>
      </c>
    </row>
    <row r="116" spans="2:3">
      <c r="B116">
        <v>11.3000000000002</v>
      </c>
      <c r="C116">
        <f t="shared" si="1"/>
        <v>73.756559501592079</v>
      </c>
    </row>
    <row r="117" spans="2:3">
      <c r="B117">
        <v>11.400000000000301</v>
      </c>
      <c r="C117">
        <f t="shared" si="1"/>
        <v>74.02568815009424</v>
      </c>
    </row>
    <row r="118" spans="2:3">
      <c r="B118">
        <v>11.5000000000003</v>
      </c>
      <c r="C118">
        <f t="shared" si="1"/>
        <v>74.288524363585765</v>
      </c>
    </row>
    <row r="119" spans="2:3">
      <c r="B119">
        <v>11.6000000000003</v>
      </c>
      <c r="C119">
        <f t="shared" si="1"/>
        <v>74.545246556309536</v>
      </c>
    </row>
    <row r="120" spans="2:3">
      <c r="B120">
        <v>11.700000000000299</v>
      </c>
      <c r="C120">
        <f t="shared" si="1"/>
        <v>74.796027776660083</v>
      </c>
    </row>
    <row r="121" spans="2:3">
      <c r="B121">
        <v>11.800000000000299</v>
      </c>
      <c r="C121">
        <f t="shared" si="1"/>
        <v>75.041035838117693</v>
      </c>
    </row>
    <row r="122" spans="2:3">
      <c r="B122">
        <v>11.900000000000301</v>
      </c>
      <c r="C122">
        <f t="shared" si="1"/>
        <v>75.280433451758384</v>
      </c>
    </row>
    <row r="123" spans="2:3">
      <c r="B123">
        <v>12.0000000000003</v>
      </c>
      <c r="C123">
        <f t="shared" si="1"/>
        <v>75.514378359628267</v>
      </c>
    </row>
    <row r="124" spans="2:3">
      <c r="B124">
        <v>12.1000000000003</v>
      </c>
      <c r="C124">
        <f t="shared" si="1"/>
        <v>75.743023468360164</v>
      </c>
    </row>
    <row r="125" spans="2:3">
      <c r="B125">
        <v>12.200000000000299</v>
      </c>
      <c r="C125">
        <f t="shared" si="1"/>
        <v>75.96651698249164</v>
      </c>
    </row>
    <row r="126" spans="2:3">
      <c r="B126">
        <v>12.3000000000004</v>
      </c>
      <c r="C126">
        <f t="shared" si="1"/>
        <v>76.185002537015734</v>
      </c>
    </row>
    <row r="127" spans="2:3">
      <c r="B127">
        <v>12.4000000000004</v>
      </c>
      <c r="C127">
        <f t="shared" si="1"/>
        <v>76.398619328759708</v>
      </c>
    </row>
    <row r="128" spans="2:3">
      <c r="B128">
        <v>12.5000000000004</v>
      </c>
      <c r="C128">
        <f t="shared" si="1"/>
        <v>76.607502246249723</v>
      </c>
    </row>
    <row r="129" spans="2:3">
      <c r="B129">
        <v>12.600000000000399</v>
      </c>
      <c r="C129">
        <f t="shared" si="1"/>
        <v>76.811781997763646</v>
      </c>
    </row>
    <row r="130" spans="2:3">
      <c r="B130">
        <v>12.700000000000401</v>
      </c>
      <c r="C130">
        <f t="shared" si="1"/>
        <v>77.011585237327751</v>
      </c>
    </row>
    <row r="131" spans="2:3">
      <c r="B131">
        <v>12.8000000000004</v>
      </c>
      <c r="C131">
        <f t="shared" si="1"/>
        <v>77.207034688450733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naoto hirabayashi</dc:creator>
  <cp:lastModifiedBy>naoto hirabayashi</cp:lastModifiedBy>
  <dcterms:created xsi:type="dcterms:W3CDTF">2015-06-05T18:19:34Z</dcterms:created>
  <dcterms:modified xsi:type="dcterms:W3CDTF">2025-11-08T15:39:05Z</dcterms:modified>
</cp:coreProperties>
</file>